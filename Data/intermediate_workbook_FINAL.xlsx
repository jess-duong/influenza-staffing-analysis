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duong/Documents/CF/Achievement 1_Excel/1. Achievement 1 and 2_Reworked /"/>
    </mc:Choice>
  </mc:AlternateContent>
  <xr:revisionPtr revIDLastSave="0" documentId="13_ncr:1_{D0CB402A-0C31-9C47-9C6F-CE1CD261DF0A}" xr6:coauthVersionLast="47" xr6:coauthVersionMax="47" xr10:uidLastSave="{00000000-0000-0000-0000-000000000000}"/>
  <bookViews>
    <workbookView xWindow="9820" yWindow="2140" windowWidth="24740" windowHeight="20200" firstSheet="1" activeTab="5" xr2:uid="{B50B310F-17E9-1449-854C-5BF58A4C6ACF}"/>
  </bookViews>
  <sheets>
    <sheet name="intermediate_workbook_COMPLETE" sheetId="1" r:id="rId1"/>
    <sheet name="Chart1_Data" sheetId="2" r:id="rId2"/>
    <sheet name="Chart2_Data" sheetId="3" r:id="rId3"/>
    <sheet name="Chart2_Stats" sheetId="4" r:id="rId4"/>
    <sheet name="Chart3_Data" sheetId="5" r:id="rId5"/>
    <sheet name="Chart4_Data" sheetId="6" r:id="rId6"/>
    <sheet name="Table3_Stats" sheetId="7" r:id="rId7"/>
  </sheets>
  <definedNames>
    <definedName name="_xlnm._FilterDatabase" localSheetId="5" hidden="1">Chart4_Data!$A$1:$D$459</definedName>
    <definedName name="_xlchart.v1.0" hidden="1">Chart2_Data!$A$1</definedName>
    <definedName name="_xlchart.v1.1" hidden="1">Chart2_Data!$A$2:$A$459</definedName>
    <definedName name="_xlchart.v1.2" hidden="1">Chart2_Data!$B$1</definedName>
    <definedName name="_xlchart.v1.3" hidden="1">Chart2_Data!$B$2:$B$459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 a="1"/>
  <c r="D2" i="7" s="1"/>
  <c r="E449" i="6"/>
  <c r="E440" i="6"/>
  <c r="E439" i="6"/>
  <c r="E438" i="6"/>
  <c r="E437" i="6"/>
  <c r="E436" i="6"/>
  <c r="E435" i="6"/>
  <c r="E434" i="6"/>
  <c r="E433" i="6"/>
  <c r="E413" i="6"/>
  <c r="E412" i="6"/>
  <c r="E411" i="6"/>
  <c r="E377" i="6"/>
  <c r="E376" i="6"/>
  <c r="E374" i="6"/>
  <c r="E368" i="6"/>
  <c r="E367" i="6"/>
  <c r="E359" i="6"/>
  <c r="E358" i="6"/>
  <c r="E357" i="6"/>
  <c r="E350" i="6"/>
  <c r="E349" i="6"/>
  <c r="E348" i="6"/>
  <c r="E347" i="6"/>
  <c r="E346" i="6"/>
  <c r="E345" i="6"/>
  <c r="E344" i="6"/>
  <c r="E343" i="6"/>
  <c r="E341" i="6"/>
  <c r="E340" i="6"/>
  <c r="E323" i="6"/>
  <c r="E322" i="6"/>
  <c r="E309" i="6"/>
  <c r="E287" i="6"/>
  <c r="E269" i="6"/>
  <c r="E242" i="6"/>
  <c r="E241" i="6"/>
  <c r="E240" i="6"/>
  <c r="E239" i="6"/>
  <c r="E238" i="6"/>
  <c r="E233" i="6"/>
  <c r="E206" i="6"/>
  <c r="E197" i="6"/>
  <c r="E179" i="6"/>
  <c r="E178" i="6"/>
  <c r="E177" i="6"/>
  <c r="E176" i="6"/>
  <c r="E175" i="6"/>
  <c r="E174" i="6"/>
  <c r="E173" i="6"/>
  <c r="E172" i="6"/>
  <c r="E161" i="6"/>
  <c r="E143" i="6"/>
  <c r="E142" i="6"/>
  <c r="E141" i="6"/>
  <c r="E107" i="6"/>
  <c r="E106" i="6"/>
  <c r="E105" i="6"/>
  <c r="E89" i="6"/>
  <c r="E88" i="6"/>
  <c r="E87" i="6"/>
  <c r="E86" i="6"/>
  <c r="E85" i="6"/>
  <c r="E84" i="6"/>
  <c r="E83" i="6"/>
  <c r="E82" i="6"/>
  <c r="E72" i="6"/>
  <c r="E71" i="6"/>
  <c r="E70" i="6"/>
  <c r="E63" i="6"/>
  <c r="E62" i="6"/>
  <c r="E36" i="6"/>
  <c r="E35" i="6"/>
  <c r="E27" i="6"/>
  <c r="E26" i="6"/>
  <c r="E9" i="6"/>
  <c r="D3" i="7" a="1"/>
  <c r="D3" i="7" s="1"/>
  <c r="D4" i="7" a="1"/>
  <c r="D4" i="7" s="1"/>
  <c r="C4" i="7"/>
  <c r="C3" i="7"/>
  <c r="C2" i="7"/>
  <c r="B4" i="7"/>
  <c r="B3" i="7"/>
  <c r="B2" i="7"/>
  <c r="C7" i="4"/>
  <c r="C6" i="4"/>
  <c r="C5" i="4"/>
  <c r="C4" i="4"/>
  <c r="C3" i="4"/>
  <c r="C2" i="4"/>
  <c r="B7" i="4"/>
  <c r="B6" i="4"/>
  <c r="B5" i="4"/>
  <c r="B4" i="4"/>
  <c r="B3" i="4"/>
  <c r="B2" i="4"/>
  <c r="C8" i="2"/>
  <c r="C7" i="2"/>
  <c r="C6" i="2"/>
  <c r="C5" i="2"/>
  <c r="C4" i="2"/>
  <c r="C3" i="2"/>
  <c r="C2" i="2"/>
  <c r="B8" i="2"/>
  <c r="B7" i="2"/>
  <c r="B6" i="2"/>
  <c r="B5" i="2"/>
  <c r="B4" i="2"/>
  <c r="B3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<sst xmlns="http://schemas.openxmlformats.org/spreadsheetml/2006/main" count="1428" uniqueCount="552">
  <si>
    <t>Combined_Key</t>
  </si>
  <si>
    <t>State</t>
  </si>
  <si>
    <t>Year</t>
  </si>
  <si>
    <t>Total_Population</t>
  </si>
  <si>
    <t>Pop_Under_65</t>
  </si>
  <si>
    <t>Pop_65_Plus</t>
  </si>
  <si>
    <t>Deaths_Under_65</t>
  </si>
  <si>
    <t>Deaths_65_Plus</t>
  </si>
  <si>
    <t>Total_Flu_Deaths</t>
  </si>
  <si>
    <t>Death_Rate_Under_65</t>
  </si>
  <si>
    <t>Death_Rate_65_Plus</t>
  </si>
  <si>
    <t>Death_Rate_Total</t>
  </si>
  <si>
    <t>Death_Rate_per_100k</t>
  </si>
  <si>
    <t>Pct_Under_65</t>
  </si>
  <si>
    <t>Pct_65_Plus</t>
  </si>
  <si>
    <t>Vax_Rate_Under_65</t>
  </si>
  <si>
    <t>Vax_Rate_65_Plus</t>
  </si>
  <si>
    <t>Alabama_2009</t>
  </si>
  <si>
    <t>Alabama</t>
  </si>
  <si>
    <t>Alabama_2010</t>
  </si>
  <si>
    <t>Alabama_2011</t>
  </si>
  <si>
    <t>Alabama_2012</t>
  </si>
  <si>
    <t>Alabama_2013</t>
  </si>
  <si>
    <t>Alabama_2014</t>
  </si>
  <si>
    <t>Alabama_2015</t>
  </si>
  <si>
    <t>Alabama_2016</t>
  </si>
  <si>
    <t>Alabama_2017</t>
  </si>
  <si>
    <t>Alaska_2009</t>
  </si>
  <si>
    <t>Alaska</t>
  </si>
  <si>
    <t>Alaska_2010</t>
  </si>
  <si>
    <t>Alaska_2011</t>
  </si>
  <si>
    <t>Alaska_2012</t>
  </si>
  <si>
    <t>Alaska_2013</t>
  </si>
  <si>
    <t>Alaska_2014</t>
  </si>
  <si>
    <t>Alaska_2015</t>
  </si>
  <si>
    <t>Alaska_2016</t>
  </si>
  <si>
    <t>Alaska_2017</t>
  </si>
  <si>
    <t>Arizona_2009</t>
  </si>
  <si>
    <t>Arizona</t>
  </si>
  <si>
    <t>Arizona_2010</t>
  </si>
  <si>
    <t>Arizona_2011</t>
  </si>
  <si>
    <t>Arizona_2012</t>
  </si>
  <si>
    <t>Arizona_2013</t>
  </si>
  <si>
    <t>Arizona_2014</t>
  </si>
  <si>
    <t>Arizona_2015</t>
  </si>
  <si>
    <t>Arizona_2016</t>
  </si>
  <si>
    <t>Arizona_2017</t>
  </si>
  <si>
    <t>Arkansas_2009</t>
  </si>
  <si>
    <t>Arkansas</t>
  </si>
  <si>
    <t>Arkansas_2010</t>
  </si>
  <si>
    <t>Arkansas_2011</t>
  </si>
  <si>
    <t>Arkansas_2012</t>
  </si>
  <si>
    <t>Arkansas_2013</t>
  </si>
  <si>
    <t>Arkansas_2014</t>
  </si>
  <si>
    <t>Arkansas_2015</t>
  </si>
  <si>
    <t>Arkansas_2016</t>
  </si>
  <si>
    <t>Arkansas_2017</t>
  </si>
  <si>
    <t>California_2009</t>
  </si>
  <si>
    <t>California</t>
  </si>
  <si>
    <t>California_2010</t>
  </si>
  <si>
    <t>California_2011</t>
  </si>
  <si>
    <t>California_2012</t>
  </si>
  <si>
    <t>California_2013</t>
  </si>
  <si>
    <t>California_2014</t>
  </si>
  <si>
    <t>California_2015</t>
  </si>
  <si>
    <t>California_2016</t>
  </si>
  <si>
    <t>California_2017</t>
  </si>
  <si>
    <t>Colorado_2009</t>
  </si>
  <si>
    <t>Colorado</t>
  </si>
  <si>
    <t>Colorado_2010</t>
  </si>
  <si>
    <t>Colorado_2011</t>
  </si>
  <si>
    <t>Colorado_2012</t>
  </si>
  <si>
    <t>Colorado_2013</t>
  </si>
  <si>
    <t>Colorado_2014</t>
  </si>
  <si>
    <t>Colorado_2015</t>
  </si>
  <si>
    <t>Colorado_2016</t>
  </si>
  <si>
    <t>Colorado_2017</t>
  </si>
  <si>
    <t>Connecticut_2009</t>
  </si>
  <si>
    <t>Connecticut</t>
  </si>
  <si>
    <t>Connecticut_2010</t>
  </si>
  <si>
    <t>Connecticut_2011</t>
  </si>
  <si>
    <t>Connecticut_2012</t>
  </si>
  <si>
    <t>Connecticut_2013</t>
  </si>
  <si>
    <t>Connecticut_2014</t>
  </si>
  <si>
    <t>Connecticut_2015</t>
  </si>
  <si>
    <t>Connecticut_2016</t>
  </si>
  <si>
    <t>Connecticut_2017</t>
  </si>
  <si>
    <t>Delaware_2009</t>
  </si>
  <si>
    <t>Delaware</t>
  </si>
  <si>
    <t>Delaware_2010</t>
  </si>
  <si>
    <t>Delaware_2011</t>
  </si>
  <si>
    <t>Delaware_2012</t>
  </si>
  <si>
    <t>Delaware_2013</t>
  </si>
  <si>
    <t>Delaware_2014</t>
  </si>
  <si>
    <t>Delaware_2015</t>
  </si>
  <si>
    <t>Delaware_2016</t>
  </si>
  <si>
    <t>Delaware_2017</t>
  </si>
  <si>
    <t>District of Columbia_2009</t>
  </si>
  <si>
    <t>District of Columbia</t>
  </si>
  <si>
    <t>District of Columbia_2010</t>
  </si>
  <si>
    <t>District of Columbia_2012</t>
  </si>
  <si>
    <t>District of Columbia_2013</t>
  </si>
  <si>
    <t>District of Columbia_2014</t>
  </si>
  <si>
    <t>District of Columbia_2015</t>
  </si>
  <si>
    <t>District of Columbia_2016</t>
  </si>
  <si>
    <t>District of Columbia_2017</t>
  </si>
  <si>
    <t>Florida_2009</t>
  </si>
  <si>
    <t>Florida</t>
  </si>
  <si>
    <t>Florida_2010</t>
  </si>
  <si>
    <t>Florida_2011</t>
  </si>
  <si>
    <t>Florida_2012</t>
  </si>
  <si>
    <t>Florida_2013</t>
  </si>
  <si>
    <t>Florida_2014</t>
  </si>
  <si>
    <t>Florida_2015</t>
  </si>
  <si>
    <t>Florida_2016</t>
  </si>
  <si>
    <t>Florida_2017</t>
  </si>
  <si>
    <t>Georgia_2009</t>
  </si>
  <si>
    <t>Georgia</t>
  </si>
  <si>
    <t>Georgia_2010</t>
  </si>
  <si>
    <t>Georgia_2011</t>
  </si>
  <si>
    <t>Georgia_2012</t>
  </si>
  <si>
    <t>Georgia_2013</t>
  </si>
  <si>
    <t>Georgia_2014</t>
  </si>
  <si>
    <t>Georgia_2015</t>
  </si>
  <si>
    <t>Georgia_2016</t>
  </si>
  <si>
    <t>Georgia_2017</t>
  </si>
  <si>
    <t>Hawaii_2009</t>
  </si>
  <si>
    <t>Hawaii</t>
  </si>
  <si>
    <t>Hawaii_2010</t>
  </si>
  <si>
    <t>Hawaii_2011</t>
  </si>
  <si>
    <t>Hawaii_2012</t>
  </si>
  <si>
    <t>Hawaii_2013</t>
  </si>
  <si>
    <t>Hawaii_2014</t>
  </si>
  <si>
    <t>Hawaii_2015</t>
  </si>
  <si>
    <t>Hawaii_2016</t>
  </si>
  <si>
    <t>Hawaii_2017</t>
  </si>
  <si>
    <t>Idaho_2009</t>
  </si>
  <si>
    <t>Idaho</t>
  </si>
  <si>
    <t>Idaho_2010</t>
  </si>
  <si>
    <t>Idaho_2011</t>
  </si>
  <si>
    <t>Idaho_2012</t>
  </si>
  <si>
    <t>Idaho_2013</t>
  </si>
  <si>
    <t>Idaho_2014</t>
  </si>
  <si>
    <t>Idaho_2015</t>
  </si>
  <si>
    <t>Idaho_2016</t>
  </si>
  <si>
    <t>Idaho_2017</t>
  </si>
  <si>
    <t>Illinois_2009</t>
  </si>
  <si>
    <t>Illinois</t>
  </si>
  <si>
    <t>Illinois_2010</t>
  </si>
  <si>
    <t>Illinois_2011</t>
  </si>
  <si>
    <t>Illinois_2012</t>
  </si>
  <si>
    <t>Illinois_2013</t>
  </si>
  <si>
    <t>Illinois_2014</t>
  </si>
  <si>
    <t>Illinois_2015</t>
  </si>
  <si>
    <t>Illinois_2016</t>
  </si>
  <si>
    <t>Illinois_2017</t>
  </si>
  <si>
    <t>Indiana_2009</t>
  </si>
  <si>
    <t>Indiana</t>
  </si>
  <si>
    <t>Indiana_2010</t>
  </si>
  <si>
    <t>Indiana_2011</t>
  </si>
  <si>
    <t>Indiana_2012</t>
  </si>
  <si>
    <t>Indiana_2013</t>
  </si>
  <si>
    <t>Indiana_2014</t>
  </si>
  <si>
    <t>Indiana_2015</t>
  </si>
  <si>
    <t>Indiana_2016</t>
  </si>
  <si>
    <t>Indiana_2017</t>
  </si>
  <si>
    <t>Iowa_2009</t>
  </si>
  <si>
    <t>Iowa</t>
  </si>
  <si>
    <t>Iowa_2010</t>
  </si>
  <si>
    <t>Iowa_2011</t>
  </si>
  <si>
    <t>Iowa_2012</t>
  </si>
  <si>
    <t>Iowa_2013</t>
  </si>
  <si>
    <t>Iowa_2014</t>
  </si>
  <si>
    <t>Iowa_2015</t>
  </si>
  <si>
    <t>Iowa_2016</t>
  </si>
  <si>
    <t>Iowa_2017</t>
  </si>
  <si>
    <t>Kansas_2009</t>
  </si>
  <si>
    <t>Kansas</t>
  </si>
  <si>
    <t>Kansas_2010</t>
  </si>
  <si>
    <t>Kansas_2011</t>
  </si>
  <si>
    <t>Kansas_2012</t>
  </si>
  <si>
    <t>Kansas_2013</t>
  </si>
  <si>
    <t>Kansas_2014</t>
  </si>
  <si>
    <t>Kansas_2015</t>
  </si>
  <si>
    <t>Kansas_2016</t>
  </si>
  <si>
    <t>Kansas_2017</t>
  </si>
  <si>
    <t>Kentucky_2009</t>
  </si>
  <si>
    <t>Kentucky</t>
  </si>
  <si>
    <t>Kentucky_2010</t>
  </si>
  <si>
    <t>Kentucky_2011</t>
  </si>
  <si>
    <t>Kentucky_2012</t>
  </si>
  <si>
    <t>Kentucky_2013</t>
  </si>
  <si>
    <t>Kentucky_2014</t>
  </si>
  <si>
    <t>Kentucky_2015</t>
  </si>
  <si>
    <t>Kentucky_2016</t>
  </si>
  <si>
    <t>Kentucky_2017</t>
  </si>
  <si>
    <t>Louisiana_2009</t>
  </si>
  <si>
    <t>Louisiana</t>
  </si>
  <si>
    <t>Louisiana_2010</t>
  </si>
  <si>
    <t>Louisiana_2011</t>
  </si>
  <si>
    <t>Louisiana_2012</t>
  </si>
  <si>
    <t>Louisiana_2013</t>
  </si>
  <si>
    <t>Louisiana_2014</t>
  </si>
  <si>
    <t>Louisiana_2015</t>
  </si>
  <si>
    <t>Louisiana_2016</t>
  </si>
  <si>
    <t>Louisiana_2017</t>
  </si>
  <si>
    <t>Maine_2009</t>
  </si>
  <si>
    <t>Maine</t>
  </si>
  <si>
    <t>Maine_2010</t>
  </si>
  <si>
    <t>Maine_2011</t>
  </si>
  <si>
    <t>Maine_2012</t>
  </si>
  <si>
    <t>Maine_2013</t>
  </si>
  <si>
    <t>Maine_2014</t>
  </si>
  <si>
    <t>Maine_2015</t>
  </si>
  <si>
    <t>Maine_2016</t>
  </si>
  <si>
    <t>Maine_2017</t>
  </si>
  <si>
    <t>Maryland_2009</t>
  </si>
  <si>
    <t>Maryland</t>
  </si>
  <si>
    <t>Maryland_2010</t>
  </si>
  <si>
    <t>Maryland_2011</t>
  </si>
  <si>
    <t>Maryland_2012</t>
  </si>
  <si>
    <t>Maryland_2013</t>
  </si>
  <si>
    <t>Maryland_2014</t>
  </si>
  <si>
    <t>Maryland_2015</t>
  </si>
  <si>
    <t>Maryland_2016</t>
  </si>
  <si>
    <t>Maryland_2017</t>
  </si>
  <si>
    <t>Massachusetts_2009</t>
  </si>
  <si>
    <t>Massachusetts</t>
  </si>
  <si>
    <t>Massachusetts_2010</t>
  </si>
  <si>
    <t>Massachusetts_2011</t>
  </si>
  <si>
    <t>Massachusetts_2012</t>
  </si>
  <si>
    <t>Massachusetts_2013</t>
  </si>
  <si>
    <t>Massachusetts_2014</t>
  </si>
  <si>
    <t>Massachusetts_2015</t>
  </si>
  <si>
    <t>Massachusetts_2016</t>
  </si>
  <si>
    <t>Massachusetts_2017</t>
  </si>
  <si>
    <t>Michigan_2009</t>
  </si>
  <si>
    <t>Michigan</t>
  </si>
  <si>
    <t>Michigan_2010</t>
  </si>
  <si>
    <t>Michigan_2011</t>
  </si>
  <si>
    <t>Michigan_2012</t>
  </si>
  <si>
    <t>Michigan_2013</t>
  </si>
  <si>
    <t>Michigan_2014</t>
  </si>
  <si>
    <t>Michigan_2015</t>
  </si>
  <si>
    <t>Michigan_2016</t>
  </si>
  <si>
    <t>Michigan_2017</t>
  </si>
  <si>
    <t>Minnesota_2009</t>
  </si>
  <si>
    <t>Minnesota</t>
  </si>
  <si>
    <t>Minnesota_2010</t>
  </si>
  <si>
    <t>Minnesota_2011</t>
  </si>
  <si>
    <t>Minnesota_2012</t>
  </si>
  <si>
    <t>Minnesota_2013</t>
  </si>
  <si>
    <t>Minnesota_2014</t>
  </si>
  <si>
    <t>Minnesota_2015</t>
  </si>
  <si>
    <t>Minnesota_2016</t>
  </si>
  <si>
    <t>Minnesota_2017</t>
  </si>
  <si>
    <t>Mississippi_2009</t>
  </si>
  <si>
    <t>Mississippi</t>
  </si>
  <si>
    <t>Mississippi_2010</t>
  </si>
  <si>
    <t>Mississippi_2011</t>
  </si>
  <si>
    <t>Mississippi_2012</t>
  </si>
  <si>
    <t>Mississippi_2013</t>
  </si>
  <si>
    <t>Mississippi_2014</t>
  </si>
  <si>
    <t>Mississippi_2015</t>
  </si>
  <si>
    <t>Mississippi_2016</t>
  </si>
  <si>
    <t>Mississippi_2017</t>
  </si>
  <si>
    <t>Missouri_2009</t>
  </si>
  <si>
    <t>Missouri</t>
  </si>
  <si>
    <t>Missouri_2010</t>
  </si>
  <si>
    <t>Missouri_2011</t>
  </si>
  <si>
    <t>Missouri_2012</t>
  </si>
  <si>
    <t>Missouri_2013</t>
  </si>
  <si>
    <t>Missouri_2014</t>
  </si>
  <si>
    <t>Missouri_2015</t>
  </si>
  <si>
    <t>Missouri_2016</t>
  </si>
  <si>
    <t>Missouri_2017</t>
  </si>
  <si>
    <t>Montana_2009</t>
  </si>
  <si>
    <t>Montana</t>
  </si>
  <si>
    <t>Montana_2010</t>
  </si>
  <si>
    <t>Montana_2011</t>
  </si>
  <si>
    <t>Montana_2012</t>
  </si>
  <si>
    <t>Montana_2013</t>
  </si>
  <si>
    <t>Montana_2014</t>
  </si>
  <si>
    <t>Montana_2015</t>
  </si>
  <si>
    <t>Montana_2016</t>
  </si>
  <si>
    <t>Montana_2017</t>
  </si>
  <si>
    <t>Nebraska_2009</t>
  </si>
  <si>
    <t>Nebraska</t>
  </si>
  <si>
    <t>Nebraska_2010</t>
  </si>
  <si>
    <t>Nebraska_2011</t>
  </si>
  <si>
    <t>Nebraska_2012</t>
  </si>
  <si>
    <t>Nebraska_2013</t>
  </si>
  <si>
    <t>Nebraska_2014</t>
  </si>
  <si>
    <t>Nebraska_2015</t>
  </si>
  <si>
    <t>Nebraska_2016</t>
  </si>
  <si>
    <t>Nebraska_2017</t>
  </si>
  <si>
    <t>Nevada_2009</t>
  </si>
  <si>
    <t>Nevada</t>
  </si>
  <si>
    <t>Nevada_2010</t>
  </si>
  <si>
    <t>Nevada_2011</t>
  </si>
  <si>
    <t>Nevada_2012</t>
  </si>
  <si>
    <t>Nevada_2013</t>
  </si>
  <si>
    <t>Nevada_2014</t>
  </si>
  <si>
    <t>Nevada_2015</t>
  </si>
  <si>
    <t>Nevada_2016</t>
  </si>
  <si>
    <t>Nevada_2017</t>
  </si>
  <si>
    <t>New Hampshire_2009</t>
  </si>
  <si>
    <t>New Hampshire</t>
  </si>
  <si>
    <t>New Hampshire_2010</t>
  </si>
  <si>
    <t>New Hampshire_2011</t>
  </si>
  <si>
    <t>New Hampshire_2012</t>
  </si>
  <si>
    <t>New Hampshire_2013</t>
  </si>
  <si>
    <t>New Hampshire_2014</t>
  </si>
  <si>
    <t>New Hampshire_2015</t>
  </si>
  <si>
    <t>New Hampshire_2016</t>
  </si>
  <si>
    <t>New Hampshire_2017</t>
  </si>
  <si>
    <t>New Jersey_2009</t>
  </si>
  <si>
    <t>New Jersey</t>
  </si>
  <si>
    <t>New Jersey_2010</t>
  </si>
  <si>
    <t>New Jersey_2011</t>
  </si>
  <si>
    <t>New Jersey_2012</t>
  </si>
  <si>
    <t>New Jersey_2013</t>
  </si>
  <si>
    <t>New Jersey_2014</t>
  </si>
  <si>
    <t>New Jersey_2015</t>
  </si>
  <si>
    <t>New Jersey_2016</t>
  </si>
  <si>
    <t>New Jersey_2017</t>
  </si>
  <si>
    <t>New Mexico_2009</t>
  </si>
  <si>
    <t>New Mexico</t>
  </si>
  <si>
    <t>New Mexico_2010</t>
  </si>
  <si>
    <t>New Mexico_2011</t>
  </si>
  <si>
    <t>New Mexico_2012</t>
  </si>
  <si>
    <t>New Mexico_2013</t>
  </si>
  <si>
    <t>New Mexico_2014</t>
  </si>
  <si>
    <t>New Mexico_2015</t>
  </si>
  <si>
    <t>New Mexico_2016</t>
  </si>
  <si>
    <t>New Mexico_2017</t>
  </si>
  <si>
    <t>New York_2009</t>
  </si>
  <si>
    <t>New York</t>
  </si>
  <si>
    <t>New York_2010</t>
  </si>
  <si>
    <t>New York_2011</t>
  </si>
  <si>
    <t>New York_2012</t>
  </si>
  <si>
    <t>New York_2013</t>
  </si>
  <si>
    <t>New York_2014</t>
  </si>
  <si>
    <t>New York_2015</t>
  </si>
  <si>
    <t>New York_2016</t>
  </si>
  <si>
    <t>New York_2017</t>
  </si>
  <si>
    <t>North Carolina_2009</t>
  </si>
  <si>
    <t>North Carolina</t>
  </si>
  <si>
    <t>North Carolina_2010</t>
  </si>
  <si>
    <t>North Carolina_2011</t>
  </si>
  <si>
    <t>North Carolina_2012</t>
  </si>
  <si>
    <t>North Carolina_2013</t>
  </si>
  <si>
    <t>North Carolina_2014</t>
  </si>
  <si>
    <t>North Carolina_2015</t>
  </si>
  <si>
    <t>North Carolina_2016</t>
  </si>
  <si>
    <t>North Carolina_2017</t>
  </si>
  <si>
    <t>North Dakota_2009</t>
  </si>
  <si>
    <t>North Dakota</t>
  </si>
  <si>
    <t>North Dakota_2010</t>
  </si>
  <si>
    <t>North Dakota_2011</t>
  </si>
  <si>
    <t>North Dakota_2012</t>
  </si>
  <si>
    <t>North Dakota_2013</t>
  </si>
  <si>
    <t>North Dakota_2014</t>
  </si>
  <si>
    <t>North Dakota_2015</t>
  </si>
  <si>
    <t>North Dakota_2016</t>
  </si>
  <si>
    <t>North Dakota_2017</t>
  </si>
  <si>
    <t>Ohio_2009</t>
  </si>
  <si>
    <t>Ohio</t>
  </si>
  <si>
    <t>Ohio_2010</t>
  </si>
  <si>
    <t>Ohio_2011</t>
  </si>
  <si>
    <t>Ohio_2012</t>
  </si>
  <si>
    <t>Ohio_2013</t>
  </si>
  <si>
    <t>Ohio_2014</t>
  </si>
  <si>
    <t>Ohio_2015</t>
  </si>
  <si>
    <t>Ohio_2016</t>
  </si>
  <si>
    <t>Ohio_2017</t>
  </si>
  <si>
    <t>Oklahoma_2009</t>
  </si>
  <si>
    <t>Oklahoma</t>
  </si>
  <si>
    <t>Oklahoma_2010</t>
  </si>
  <si>
    <t>Oklahoma_2011</t>
  </si>
  <si>
    <t>Oklahoma_2012</t>
  </si>
  <si>
    <t>Oklahoma_2013</t>
  </si>
  <si>
    <t>Oklahoma_2014</t>
  </si>
  <si>
    <t>Oklahoma_2015</t>
  </si>
  <si>
    <t>Oklahoma_2016</t>
  </si>
  <si>
    <t>Oklahoma_2017</t>
  </si>
  <si>
    <t>Oregon_2009</t>
  </si>
  <si>
    <t>Oregon</t>
  </si>
  <si>
    <t>Oregon_2010</t>
  </si>
  <si>
    <t>Oregon_2011</t>
  </si>
  <si>
    <t>Oregon_2012</t>
  </si>
  <si>
    <t>Oregon_2013</t>
  </si>
  <si>
    <t>Oregon_2014</t>
  </si>
  <si>
    <t>Oregon_2015</t>
  </si>
  <si>
    <t>Oregon_2016</t>
  </si>
  <si>
    <t>Oregon_2017</t>
  </si>
  <si>
    <t>Pennsylvania_2009</t>
  </si>
  <si>
    <t>Pennsylvania</t>
  </si>
  <si>
    <t>Pennsylvania_2010</t>
  </si>
  <si>
    <t>Pennsylvania_2011</t>
  </si>
  <si>
    <t>Pennsylvania_2012</t>
  </si>
  <si>
    <t>Pennsylvania_2013</t>
  </si>
  <si>
    <t>Pennsylvania_2014</t>
  </si>
  <si>
    <t>Pennsylvania_2015</t>
  </si>
  <si>
    <t>Pennsylvania_2016</t>
  </si>
  <si>
    <t>Pennsylvania_2017</t>
  </si>
  <si>
    <t>Rhode Island_2009</t>
  </si>
  <si>
    <t>Rhode Island</t>
  </si>
  <si>
    <t>Rhode Island_2010</t>
  </si>
  <si>
    <t>Rhode Island_2011</t>
  </si>
  <si>
    <t>Rhode Island_2012</t>
  </si>
  <si>
    <t>Rhode Island_2013</t>
  </si>
  <si>
    <t>Rhode Island_2014</t>
  </si>
  <si>
    <t>Rhode Island_2015</t>
  </si>
  <si>
    <t>Rhode Island_2016</t>
  </si>
  <si>
    <t>Rhode Island_2017</t>
  </si>
  <si>
    <t>South Carolina_2009</t>
  </si>
  <si>
    <t>South Carolina</t>
  </si>
  <si>
    <t>South Carolina_2010</t>
  </si>
  <si>
    <t>South Carolina_2011</t>
  </si>
  <si>
    <t>South Carolina_2012</t>
  </si>
  <si>
    <t>South Carolina_2013</t>
  </si>
  <si>
    <t>South Carolina_2014</t>
  </si>
  <si>
    <t>South Carolina_2015</t>
  </si>
  <si>
    <t>South Carolina_2016</t>
  </si>
  <si>
    <t>South Carolina_2017</t>
  </si>
  <si>
    <t>South Dakota_2009</t>
  </si>
  <si>
    <t>South Dakota</t>
  </si>
  <si>
    <t>South Dakota_2010</t>
  </si>
  <si>
    <t>South Dakota_2011</t>
  </si>
  <si>
    <t>South Dakota_2012</t>
  </si>
  <si>
    <t>South Dakota_2013</t>
  </si>
  <si>
    <t>South Dakota_2014</t>
  </si>
  <si>
    <t>South Dakota_2015</t>
  </si>
  <si>
    <t>South Dakota_2016</t>
  </si>
  <si>
    <t>South Dakota_2017</t>
  </si>
  <si>
    <t>Tennessee_2009</t>
  </si>
  <si>
    <t>Tennessee</t>
  </si>
  <si>
    <t>Tennessee_2010</t>
  </si>
  <si>
    <t>Tennessee_2011</t>
  </si>
  <si>
    <t>Tennessee_2012</t>
  </si>
  <si>
    <t>Tennessee_2013</t>
  </si>
  <si>
    <t>Tennessee_2014</t>
  </si>
  <si>
    <t>Tennessee_2015</t>
  </si>
  <si>
    <t>Tennessee_2016</t>
  </si>
  <si>
    <t>Tennessee_2017</t>
  </si>
  <si>
    <t>Texas_2009</t>
  </si>
  <si>
    <t>Texas</t>
  </si>
  <si>
    <t>Texas_2010</t>
  </si>
  <si>
    <t>Texas_2011</t>
  </si>
  <si>
    <t>Texas_2012</t>
  </si>
  <si>
    <t>Texas_2013</t>
  </si>
  <si>
    <t>Texas_2014</t>
  </si>
  <si>
    <t>Texas_2015</t>
  </si>
  <si>
    <t>Texas_2016</t>
  </si>
  <si>
    <t>Texas_2017</t>
  </si>
  <si>
    <t>Utah_2009</t>
  </si>
  <si>
    <t>Utah</t>
  </si>
  <si>
    <t>Utah_2010</t>
  </si>
  <si>
    <t>Utah_2011</t>
  </si>
  <si>
    <t>Utah_2012</t>
  </si>
  <si>
    <t>Utah_2013</t>
  </si>
  <si>
    <t>Utah_2014</t>
  </si>
  <si>
    <t>Utah_2015</t>
  </si>
  <si>
    <t>Utah_2016</t>
  </si>
  <si>
    <t>Utah_2017</t>
  </si>
  <si>
    <t>Vermont_2009</t>
  </si>
  <si>
    <t>Vermont</t>
  </si>
  <si>
    <t>Vermont_2010</t>
  </si>
  <si>
    <t>Vermont_2011</t>
  </si>
  <si>
    <t>Vermont_2012</t>
  </si>
  <si>
    <t>Vermont_2013</t>
  </si>
  <si>
    <t>Vermont_2014</t>
  </si>
  <si>
    <t>Vermont_2015</t>
  </si>
  <si>
    <t>Vermont_2016</t>
  </si>
  <si>
    <t>Vermont_2017</t>
  </si>
  <si>
    <t>Virginia_2009</t>
  </si>
  <si>
    <t>Virginia</t>
  </si>
  <si>
    <t>Virginia_2010</t>
  </si>
  <si>
    <t>Virginia_2011</t>
  </si>
  <si>
    <t>Virginia_2012</t>
  </si>
  <si>
    <t>Virginia_2013</t>
  </si>
  <si>
    <t>Virginia_2014</t>
  </si>
  <si>
    <t>Virginia_2015</t>
  </si>
  <si>
    <t>Virginia_2016</t>
  </si>
  <si>
    <t>Virginia_2017</t>
  </si>
  <si>
    <t>Washington_2009</t>
  </si>
  <si>
    <t>Washington</t>
  </si>
  <si>
    <t>Washington_2010</t>
  </si>
  <si>
    <t>Washington_2011</t>
  </si>
  <si>
    <t>Washington_2012</t>
  </si>
  <si>
    <t>Washington_2013</t>
  </si>
  <si>
    <t>Washington_2014</t>
  </si>
  <si>
    <t>Washington_2015</t>
  </si>
  <si>
    <t>Washington_2016</t>
  </si>
  <si>
    <t>Washington_2017</t>
  </si>
  <si>
    <t>West Virginia_2009</t>
  </si>
  <si>
    <t>West Virginia</t>
  </si>
  <si>
    <t>West Virginia_2010</t>
  </si>
  <si>
    <t>West Virginia_2011</t>
  </si>
  <si>
    <t>West Virginia_2012</t>
  </si>
  <si>
    <t>West Virginia_2013</t>
  </si>
  <si>
    <t>West Virginia_2014</t>
  </si>
  <si>
    <t>West Virginia_2015</t>
  </si>
  <si>
    <t>West Virginia_2016</t>
  </si>
  <si>
    <t>West Virginia_2017</t>
  </si>
  <si>
    <t>Wisconsin_2009</t>
  </si>
  <si>
    <t>Wisconsin</t>
  </si>
  <si>
    <t>Wisconsin_2010</t>
  </si>
  <si>
    <t>Wisconsin_2011</t>
  </si>
  <si>
    <t>Wisconsin_2012</t>
  </si>
  <si>
    <t>Wisconsin_2013</t>
  </si>
  <si>
    <t>Wisconsin_2014</t>
  </si>
  <si>
    <t>Wisconsin_2015</t>
  </si>
  <si>
    <t>Wisconsin_2016</t>
  </si>
  <si>
    <t>Wisconsin_2017</t>
  </si>
  <si>
    <t>Wyoming_2009</t>
  </si>
  <si>
    <t>Wyoming</t>
  </si>
  <si>
    <t>Wyoming_2010</t>
  </si>
  <si>
    <t>Wyoming_2011</t>
  </si>
  <si>
    <t>Wyoming_2012</t>
  </si>
  <si>
    <t>Wyoming_2013</t>
  </si>
  <si>
    <t>Wyoming_2014</t>
  </si>
  <si>
    <t>Wyoming_2015</t>
  </si>
  <si>
    <t>Wyoming_2016</t>
  </si>
  <si>
    <t>Wyoming_2017</t>
  </si>
  <si>
    <t>Death Count Range</t>
  </si>
  <si>
    <t>65+ Years</t>
  </si>
  <si>
    <t>Under 65 Years</t>
  </si>
  <si>
    <t>0-500</t>
  </si>
  <si>
    <t>501-1000</t>
  </si>
  <si>
    <t>1001-1500</t>
  </si>
  <si>
    <t>1501-2000</t>
  </si>
  <si>
    <t>2001-2500</t>
  </si>
  <si>
    <t>2501-3000</t>
  </si>
  <si>
    <t>3000+</t>
  </si>
  <si>
    <t>Statistic</t>
  </si>
  <si>
    <t>Minimum</t>
  </si>
  <si>
    <t>Q1 (25%)</t>
  </si>
  <si>
    <t>Median</t>
  </si>
  <si>
    <t>Q3 (75%)</t>
  </si>
  <si>
    <t>Maximum</t>
  </si>
  <si>
    <t>Mean</t>
  </si>
  <si>
    <t>State_Year</t>
  </si>
  <si>
    <t>Vaccination Coverage</t>
  </si>
  <si>
    <t>Number of Observations</t>
  </si>
  <si>
    <t>Average Death Rate (per 100k)</t>
  </si>
  <si>
    <t>Median Death Rate (per 100k)</t>
  </si>
  <si>
    <t>Low (&lt;65%)</t>
  </si>
  <si>
    <t>Medium (65-70%)</t>
  </si>
  <si>
    <t>High (&gt;70%)</t>
  </si>
  <si>
    <t>Vax_Category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</si>
</sst>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A1C6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6">
    <xf numFmtId="0" fontId="0" fillId="0" borderId="0" xfId="0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0" fontId="18" fillId="36" borderId="0" xfId="0" applyFont="1" applyFill="1"/>
    <xf numFmtId="0" fontId="18" fillId="37" borderId="0" xfId="0" applyFont="1" applyFill="1"/>
    <xf numFmtId="0" fontId="18" fillId="38" borderId="0" xfId="0" applyFont="1" applyFill="1"/>
    <xf numFmtId="0" fontId="18" fillId="0" borderId="0" xfId="0" applyFont="1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quotePrefix="1" applyNumberFormat="1"/>
    <xf numFmtId="0" fontId="19" fillId="39" borderId="0" xfId="0" applyFont="1" applyFill="1"/>
    <xf numFmtId="164" fontId="20" fillId="0" borderId="0" xfId="0" applyNumberFormat="1" applyFont="1"/>
    <xf numFmtId="0" fontId="18" fillId="40" borderId="0" xfId="0" applyFont="1" applyFill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6"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3" tint="0.89999084444715716"/>
        </patternFill>
      </fill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colors>
    <mruColors>
      <color rgb="FFFFA1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Influenza Deaths for High Risk (65+) and Low Risk (Under 65) Groups,</a:t>
            </a:r>
            <a:r>
              <a:rPr lang="en-US" b="1" baseline="0">
                <a:solidFill>
                  <a:schemeClr val="tx1"/>
                </a:solidFill>
              </a:rPr>
              <a:t> 2009-2017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Chart1_Data!$B$1</c:f>
              <c:strCache>
                <c:ptCount val="1"/>
                <c:pt idx="0">
                  <c:v>65+ Years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Chart1_Data!$A$2:$A$8</c:f>
              <c:strCache>
                <c:ptCount val="7"/>
                <c:pt idx="0">
                  <c:v>0-500</c:v>
                </c:pt>
                <c:pt idx="1">
                  <c:v>501-1000</c:v>
                </c:pt>
                <c:pt idx="2">
                  <c:v>1001-1500</c:v>
                </c:pt>
                <c:pt idx="3">
                  <c:v>1501-2000</c:v>
                </c:pt>
                <c:pt idx="4">
                  <c:v>2001-2500</c:v>
                </c:pt>
                <c:pt idx="5">
                  <c:v>2501-3000</c:v>
                </c:pt>
                <c:pt idx="6">
                  <c:v>3000+</c:v>
                </c:pt>
              </c:strCache>
            </c:strRef>
          </c:cat>
          <c:val>
            <c:numRef>
              <c:f>Chart1_Data!$B$2:$B$8</c:f>
              <c:numCache>
                <c:formatCode>General</c:formatCode>
                <c:ptCount val="7"/>
                <c:pt idx="0">
                  <c:v>191</c:v>
                </c:pt>
                <c:pt idx="1">
                  <c:v>136</c:v>
                </c:pt>
                <c:pt idx="2">
                  <c:v>59</c:v>
                </c:pt>
                <c:pt idx="3">
                  <c:v>22</c:v>
                </c:pt>
                <c:pt idx="4">
                  <c:v>25</c:v>
                </c:pt>
                <c:pt idx="5">
                  <c:v>7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5-0944-BB35-20EF7E0B486D}"/>
            </c:ext>
          </c:extLst>
        </c:ser>
        <c:ser>
          <c:idx val="1"/>
          <c:order val="1"/>
          <c:tx>
            <c:strRef>
              <c:f>Chart1_Data!$C$1</c:f>
              <c:strCache>
                <c:ptCount val="1"/>
                <c:pt idx="0">
                  <c:v>Under 65 Years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Chart1_Data!$A$2:$A$8</c:f>
              <c:strCache>
                <c:ptCount val="7"/>
                <c:pt idx="0">
                  <c:v>0-500</c:v>
                </c:pt>
                <c:pt idx="1">
                  <c:v>501-1000</c:v>
                </c:pt>
                <c:pt idx="2">
                  <c:v>1001-1500</c:v>
                </c:pt>
                <c:pt idx="3">
                  <c:v>1501-2000</c:v>
                </c:pt>
                <c:pt idx="4">
                  <c:v>2001-2500</c:v>
                </c:pt>
                <c:pt idx="5">
                  <c:v>2501-3000</c:v>
                </c:pt>
                <c:pt idx="6">
                  <c:v>3000+</c:v>
                </c:pt>
              </c:strCache>
            </c:strRef>
          </c:cat>
          <c:val>
            <c:numRef>
              <c:f>Chart1_Data!$C$2:$C$8</c:f>
              <c:numCache>
                <c:formatCode>General</c:formatCode>
                <c:ptCount val="7"/>
                <c:pt idx="0">
                  <c:v>358</c:v>
                </c:pt>
                <c:pt idx="1">
                  <c:v>93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E5-0944-BB35-20EF7E0B4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626112"/>
        <c:axId val="1044318400"/>
      </c:barChart>
      <c:catAx>
        <c:axId val="49362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Death</a:t>
                </a:r>
                <a:r>
                  <a:rPr lang="en-US" baseline="0">
                    <a:solidFill>
                      <a:schemeClr val="tx1"/>
                    </a:solidFill>
                  </a:rPr>
                  <a:t> Count Range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318400"/>
        <c:crosses val="autoZero"/>
        <c:auto val="1"/>
        <c:lblAlgn val="ctr"/>
        <c:lblOffset val="100"/>
        <c:noMultiLvlLbl val="0"/>
      </c:catAx>
      <c:valAx>
        <c:axId val="104431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Count</a:t>
                </a:r>
                <a:r>
                  <a:rPr lang="en-US" baseline="0">
                    <a:solidFill>
                      <a:schemeClr val="tx1"/>
                    </a:solidFill>
                  </a:rPr>
                  <a:t> of State-Year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62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+mn-lt"/>
              </a:rPr>
              <a:t>Population &amp; Influenza Deaths for 65+ Years of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Chart3_Data!$D$1</c:f>
              <c:strCache>
                <c:ptCount val="1"/>
                <c:pt idx="0">
                  <c:v>Deaths_65_Plus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 cmpd="sng">
                <a:solidFill>
                  <a:srgbClr val="C00000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609316358819634E-2"/>
                  <c:y val="0.2218902759106331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>
                        <a:solidFill>
                          <a:schemeClr val="tx1"/>
                        </a:solidFill>
                      </a:rPr>
                      <a:t>y = 0.001x + 37.638</a:t>
                    </a:r>
                    <a:br>
                      <a:rPr lang="en-US" sz="1100" baseline="0">
                        <a:solidFill>
                          <a:schemeClr val="tx1"/>
                        </a:solidFill>
                      </a:rPr>
                    </a:br>
                    <a:r>
                      <a:rPr lang="en-US" sz="1100" baseline="0">
                        <a:solidFill>
                          <a:schemeClr val="tx1"/>
                        </a:solidFill>
                      </a:rPr>
                      <a:t>R² = 0.8835</a:t>
                    </a:r>
                    <a:endParaRPr lang="en-US" sz="1100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Chart3_Data!$C$2:$C$459</c:f>
              <c:numCache>
                <c:formatCode>#,##0</c:formatCode>
                <c:ptCount val="458"/>
                <c:pt idx="0">
                  <c:v>636565.92599999998</c:v>
                </c:pt>
                <c:pt idx="1">
                  <c:v>657917.51100000006</c:v>
                </c:pt>
                <c:pt idx="2">
                  <c:v>698905.821</c:v>
                </c:pt>
                <c:pt idx="3">
                  <c:v>681170.77500000002</c:v>
                </c:pt>
                <c:pt idx="4">
                  <c:v>698711.18299999996</c:v>
                </c:pt>
                <c:pt idx="5">
                  <c:v>664451.92799999996</c:v>
                </c:pt>
                <c:pt idx="6">
                  <c:v>704792.78099999996</c:v>
                </c:pt>
                <c:pt idx="7">
                  <c:v>765967.76</c:v>
                </c:pt>
                <c:pt idx="8">
                  <c:v>751405</c:v>
                </c:pt>
                <c:pt idx="9">
                  <c:v>54809.243000000002</c:v>
                </c:pt>
                <c:pt idx="10">
                  <c:v>54259.91</c:v>
                </c:pt>
                <c:pt idx="11">
                  <c:v>53307.000999999997</c:v>
                </c:pt>
                <c:pt idx="12">
                  <c:v>53256.262999999999</c:v>
                </c:pt>
                <c:pt idx="13">
                  <c:v>63134.807000000001</c:v>
                </c:pt>
                <c:pt idx="14">
                  <c:v>58239.516000000003</c:v>
                </c:pt>
                <c:pt idx="15">
                  <c:v>68737.627999999997</c:v>
                </c:pt>
                <c:pt idx="16">
                  <c:v>76259.937999999995</c:v>
                </c:pt>
                <c:pt idx="17">
                  <c:v>79935</c:v>
                </c:pt>
                <c:pt idx="18">
                  <c:v>814059.98300000001</c:v>
                </c:pt>
                <c:pt idx="19">
                  <c:v>838437.56699999899</c:v>
                </c:pt>
                <c:pt idx="20">
                  <c:v>859870.99199999997</c:v>
                </c:pt>
                <c:pt idx="21">
                  <c:v>894933.28</c:v>
                </c:pt>
                <c:pt idx="22">
                  <c:v>932562.51</c:v>
                </c:pt>
                <c:pt idx="23">
                  <c:v>971011.2</c:v>
                </c:pt>
                <c:pt idx="24">
                  <c:v>1009586.7610000001</c:v>
                </c:pt>
                <c:pt idx="25">
                  <c:v>1011862.649</c:v>
                </c:pt>
                <c:pt idx="26">
                  <c:v>1092768</c:v>
                </c:pt>
                <c:pt idx="27">
                  <c:v>400216.31</c:v>
                </c:pt>
                <c:pt idx="28">
                  <c:v>436104.43800000002</c:v>
                </c:pt>
                <c:pt idx="29">
                  <c:v>424026.99400000001</c:v>
                </c:pt>
                <c:pt idx="30">
                  <c:v>448768.11499999999</c:v>
                </c:pt>
                <c:pt idx="31">
                  <c:v>445718.179</c:v>
                </c:pt>
                <c:pt idx="32">
                  <c:v>436094.21500000003</c:v>
                </c:pt>
                <c:pt idx="33">
                  <c:v>481988.12</c:v>
                </c:pt>
                <c:pt idx="34">
                  <c:v>480256.73300000001</c:v>
                </c:pt>
                <c:pt idx="35">
                  <c:v>495334</c:v>
                </c:pt>
                <c:pt idx="36">
                  <c:v>3975671.41</c:v>
                </c:pt>
                <c:pt idx="37">
                  <c:v>4020743.9559999998</c:v>
                </c:pt>
                <c:pt idx="38">
                  <c:v>4185164.915</c:v>
                </c:pt>
                <c:pt idx="39">
                  <c:v>4315187.6220000004</c:v>
                </c:pt>
                <c:pt idx="40">
                  <c:v>4443327.0769999996</c:v>
                </c:pt>
                <c:pt idx="41">
                  <c:v>4621545.6919999998</c:v>
                </c:pt>
                <c:pt idx="42">
                  <c:v>4825504.8499999996</c:v>
                </c:pt>
                <c:pt idx="43">
                  <c:v>5006462.1050000004</c:v>
                </c:pt>
                <c:pt idx="44">
                  <c:v>5115069</c:v>
                </c:pt>
                <c:pt idx="45">
                  <c:v>499940.05099999998</c:v>
                </c:pt>
                <c:pt idx="46">
                  <c:v>521340.21500000003</c:v>
                </c:pt>
                <c:pt idx="47">
                  <c:v>549184.28700000001</c:v>
                </c:pt>
                <c:pt idx="48">
                  <c:v>559546.71499999997</c:v>
                </c:pt>
                <c:pt idx="49">
                  <c:v>594864.76699999999</c:v>
                </c:pt>
                <c:pt idx="50">
                  <c:v>624296.29399999999</c:v>
                </c:pt>
                <c:pt idx="51">
                  <c:v>734487.37300000002</c:v>
                </c:pt>
                <c:pt idx="52">
                  <c:v>682748.93799999997</c:v>
                </c:pt>
                <c:pt idx="53">
                  <c:v>782495</c:v>
                </c:pt>
                <c:pt idx="54">
                  <c:v>476175.16600000003</c:v>
                </c:pt>
                <c:pt idx="55">
                  <c:v>491649.24900000001</c:v>
                </c:pt>
                <c:pt idx="56">
                  <c:v>499633.78200000001</c:v>
                </c:pt>
                <c:pt idx="57">
                  <c:v>510276.24400000001</c:v>
                </c:pt>
                <c:pt idx="58">
                  <c:v>519807.239</c:v>
                </c:pt>
                <c:pt idx="59">
                  <c:v>531465.28399999999</c:v>
                </c:pt>
                <c:pt idx="60">
                  <c:v>542415.62</c:v>
                </c:pt>
                <c:pt idx="61">
                  <c:v>553638.56299999997</c:v>
                </c:pt>
                <c:pt idx="62">
                  <c:v>575757</c:v>
                </c:pt>
                <c:pt idx="63">
                  <c:v>119147.20600000001</c:v>
                </c:pt>
                <c:pt idx="64">
                  <c:v>122781.06600000001</c:v>
                </c:pt>
                <c:pt idx="65">
                  <c:v>126582.414</c:v>
                </c:pt>
                <c:pt idx="66">
                  <c:v>130733.014999999</c:v>
                </c:pt>
                <c:pt idx="67">
                  <c:v>135397.79</c:v>
                </c:pt>
                <c:pt idx="68">
                  <c:v>141084.97</c:v>
                </c:pt>
                <c:pt idx="69">
                  <c:v>147549.38699999999</c:v>
                </c:pt>
                <c:pt idx="70">
                  <c:v>153659.03999999899</c:v>
                </c:pt>
                <c:pt idx="71">
                  <c:v>160565</c:v>
                </c:pt>
                <c:pt idx="72">
                  <c:v>70023.527000000002</c:v>
                </c:pt>
                <c:pt idx="73">
                  <c:v>67206</c:v>
                </c:pt>
                <c:pt idx="74">
                  <c:v>69662.285000000003</c:v>
                </c:pt>
                <c:pt idx="75">
                  <c:v>69988.922999999995</c:v>
                </c:pt>
                <c:pt idx="76">
                  <c:v>71612.168000000005</c:v>
                </c:pt>
                <c:pt idx="77">
                  <c:v>73813.175999999905</c:v>
                </c:pt>
                <c:pt idx="78">
                  <c:v>75127.025999999998</c:v>
                </c:pt>
                <c:pt idx="79">
                  <c:v>79769</c:v>
                </c:pt>
                <c:pt idx="80">
                  <c:v>3071464.932</c:v>
                </c:pt>
                <c:pt idx="81">
                  <c:v>3140405.9569999999</c:v>
                </c:pt>
                <c:pt idx="82">
                  <c:v>3201117.8829999999</c:v>
                </c:pt>
                <c:pt idx="83">
                  <c:v>3272923.1379999998</c:v>
                </c:pt>
                <c:pt idx="84">
                  <c:v>3332891</c:v>
                </c:pt>
                <c:pt idx="85">
                  <c:v>3472161.736</c:v>
                </c:pt>
                <c:pt idx="86">
                  <c:v>3614377.5619999999</c:v>
                </c:pt>
                <c:pt idx="87">
                  <c:v>3815660.7880000002</c:v>
                </c:pt>
                <c:pt idx="88">
                  <c:v>3952286</c:v>
                </c:pt>
                <c:pt idx="89">
                  <c:v>978932.924</c:v>
                </c:pt>
                <c:pt idx="90">
                  <c:v>991429.71200000006</c:v>
                </c:pt>
                <c:pt idx="91">
                  <c:v>1013114.6459999999</c:v>
                </c:pt>
                <c:pt idx="92">
                  <c:v>1086332.8999999999</c:v>
                </c:pt>
                <c:pt idx="93">
                  <c:v>1130962.6170000001</c:v>
                </c:pt>
                <c:pt idx="94">
                  <c:v>1124322.544</c:v>
                </c:pt>
                <c:pt idx="95">
                  <c:v>1246852.7209999999</c:v>
                </c:pt>
                <c:pt idx="96">
                  <c:v>1245018.138</c:v>
                </c:pt>
                <c:pt idx="97">
                  <c:v>1333349</c:v>
                </c:pt>
                <c:pt idx="98">
                  <c:v>180646.57</c:v>
                </c:pt>
                <c:pt idx="99">
                  <c:v>185908.43599999999</c:v>
                </c:pt>
                <c:pt idx="100">
                  <c:v>191821.69</c:v>
                </c:pt>
                <c:pt idx="101">
                  <c:v>197109.54500000001</c:v>
                </c:pt>
                <c:pt idx="102">
                  <c:v>202208.253</c:v>
                </c:pt>
                <c:pt idx="103">
                  <c:v>212874.065</c:v>
                </c:pt>
                <c:pt idx="104">
                  <c:v>219910.652</c:v>
                </c:pt>
                <c:pt idx="105">
                  <c:v>228155.08799999999</c:v>
                </c:pt>
                <c:pt idx="106">
                  <c:v>238144</c:v>
                </c:pt>
                <c:pt idx="107">
                  <c:v>176540.34400000001</c:v>
                </c:pt>
                <c:pt idx="108">
                  <c:v>183158.27100000001</c:v>
                </c:pt>
                <c:pt idx="109">
                  <c:v>198061.46900000001</c:v>
                </c:pt>
                <c:pt idx="110">
                  <c:v>197875.386</c:v>
                </c:pt>
                <c:pt idx="111">
                  <c:v>222677.00099999999</c:v>
                </c:pt>
                <c:pt idx="112">
                  <c:v>223233.91500000001</c:v>
                </c:pt>
                <c:pt idx="113">
                  <c:v>235431.74600000001</c:v>
                </c:pt>
                <c:pt idx="114">
                  <c:v>221719.76500000001</c:v>
                </c:pt>
                <c:pt idx="115">
                  <c:v>234462</c:v>
                </c:pt>
                <c:pt idx="116">
                  <c:v>1567731.6029999999</c:v>
                </c:pt>
                <c:pt idx="117">
                  <c:v>1588855.11</c:v>
                </c:pt>
                <c:pt idx="118">
                  <c:v>1583939.85</c:v>
                </c:pt>
                <c:pt idx="119">
                  <c:v>1631519.209</c:v>
                </c:pt>
                <c:pt idx="120">
                  <c:v>1638812.4439999999</c:v>
                </c:pt>
                <c:pt idx="121">
                  <c:v>1669800.53999999</c:v>
                </c:pt>
                <c:pt idx="122">
                  <c:v>1775015.963</c:v>
                </c:pt>
                <c:pt idx="123">
                  <c:v>1786351.747</c:v>
                </c:pt>
                <c:pt idx="124">
                  <c:v>1871479</c:v>
                </c:pt>
                <c:pt idx="125">
                  <c:v>807239.11499999999</c:v>
                </c:pt>
                <c:pt idx="126">
                  <c:v>825319.79399999999</c:v>
                </c:pt>
                <c:pt idx="127">
                  <c:v>801278.52500000002</c:v>
                </c:pt>
                <c:pt idx="128">
                  <c:v>857917.85400000005</c:v>
                </c:pt>
                <c:pt idx="129">
                  <c:v>869832.59699999995</c:v>
                </c:pt>
                <c:pt idx="130">
                  <c:v>866928.72600000002</c:v>
                </c:pt>
                <c:pt idx="131">
                  <c:v>911629.66500000004</c:v>
                </c:pt>
                <c:pt idx="132">
                  <c:v>957088.32200000004</c:v>
                </c:pt>
                <c:pt idx="133">
                  <c:v>999469</c:v>
                </c:pt>
                <c:pt idx="134">
                  <c:v>436989.89299999998</c:v>
                </c:pt>
                <c:pt idx="135">
                  <c:v>442693.54300000001</c:v>
                </c:pt>
                <c:pt idx="136">
                  <c:v>438643.245</c:v>
                </c:pt>
                <c:pt idx="137">
                  <c:v>468955.49900000001</c:v>
                </c:pt>
                <c:pt idx="138">
                  <c:v>448141.68599999999</c:v>
                </c:pt>
                <c:pt idx="139">
                  <c:v>451051.946</c:v>
                </c:pt>
                <c:pt idx="140">
                  <c:v>514464.50199999998</c:v>
                </c:pt>
                <c:pt idx="141">
                  <c:v>486383.49599999998</c:v>
                </c:pt>
                <c:pt idx="142">
                  <c:v>485962</c:v>
                </c:pt>
                <c:pt idx="143">
                  <c:v>363176.19699999999</c:v>
                </c:pt>
                <c:pt idx="144">
                  <c:v>357937.53899999999</c:v>
                </c:pt>
                <c:pt idx="145">
                  <c:v>384189.76</c:v>
                </c:pt>
                <c:pt idx="146">
                  <c:v>390033.18599999999</c:v>
                </c:pt>
                <c:pt idx="147">
                  <c:v>391314.73800000001</c:v>
                </c:pt>
                <c:pt idx="148">
                  <c:v>401675.24200000003</c:v>
                </c:pt>
                <c:pt idx="149">
                  <c:v>421099.266</c:v>
                </c:pt>
                <c:pt idx="150">
                  <c:v>417967.141</c:v>
                </c:pt>
                <c:pt idx="151">
                  <c:v>441260</c:v>
                </c:pt>
                <c:pt idx="152">
                  <c:v>559355.304999999</c:v>
                </c:pt>
                <c:pt idx="153">
                  <c:v>547779.82999999996</c:v>
                </c:pt>
                <c:pt idx="154">
                  <c:v>573694.60699999996</c:v>
                </c:pt>
                <c:pt idx="155">
                  <c:v>590100.23499999999</c:v>
                </c:pt>
                <c:pt idx="156">
                  <c:v>605149.05799999996</c:v>
                </c:pt>
                <c:pt idx="157">
                  <c:v>621030.34199999995</c:v>
                </c:pt>
                <c:pt idx="158">
                  <c:v>701286.99300000002</c:v>
                </c:pt>
                <c:pt idx="159">
                  <c:v>687255.48499999999</c:v>
                </c:pt>
                <c:pt idx="160">
                  <c:v>694537</c:v>
                </c:pt>
                <c:pt idx="161">
                  <c:v>538365.92599999998</c:v>
                </c:pt>
                <c:pt idx="162">
                  <c:v>547486.32799999998</c:v>
                </c:pt>
                <c:pt idx="163">
                  <c:v>558877.22100000002</c:v>
                </c:pt>
                <c:pt idx="164">
                  <c:v>589849.33699999901</c:v>
                </c:pt>
                <c:pt idx="165">
                  <c:v>569229.04399999999</c:v>
                </c:pt>
                <c:pt idx="166">
                  <c:v>624208.65099999995</c:v>
                </c:pt>
                <c:pt idx="167">
                  <c:v>613656.201</c:v>
                </c:pt>
                <c:pt idx="168">
                  <c:v>718115.64300000004</c:v>
                </c:pt>
                <c:pt idx="169">
                  <c:v>625132</c:v>
                </c:pt>
                <c:pt idx="170">
                  <c:v>197784.867</c:v>
                </c:pt>
                <c:pt idx="171">
                  <c:v>203415.772</c:v>
                </c:pt>
                <c:pt idx="172">
                  <c:v>219819.08499999999</c:v>
                </c:pt>
                <c:pt idx="173">
                  <c:v>209726.864</c:v>
                </c:pt>
                <c:pt idx="174">
                  <c:v>220400.67300000001</c:v>
                </c:pt>
                <c:pt idx="175">
                  <c:v>230563.22200000001</c:v>
                </c:pt>
                <c:pt idx="176">
                  <c:v>234864.277</c:v>
                </c:pt>
                <c:pt idx="177">
                  <c:v>243904.57199999999</c:v>
                </c:pt>
                <c:pt idx="178">
                  <c:v>255178</c:v>
                </c:pt>
                <c:pt idx="179">
                  <c:v>663114.52300000004</c:v>
                </c:pt>
                <c:pt idx="180">
                  <c:v>680712.30799999996</c:v>
                </c:pt>
                <c:pt idx="181">
                  <c:v>698137.43799999997</c:v>
                </c:pt>
                <c:pt idx="182">
                  <c:v>716292.64899999998</c:v>
                </c:pt>
                <c:pt idx="183">
                  <c:v>734077.25</c:v>
                </c:pt>
                <c:pt idx="184">
                  <c:v>769137.40399999998</c:v>
                </c:pt>
                <c:pt idx="185">
                  <c:v>790932.54699999897</c:v>
                </c:pt>
                <c:pt idx="186">
                  <c:v>808810.94799999997</c:v>
                </c:pt>
                <c:pt idx="187">
                  <c:v>836474</c:v>
                </c:pt>
                <c:pt idx="188">
                  <c:v>868998.38300000003</c:v>
                </c:pt>
                <c:pt idx="189">
                  <c:v>877120.75100000005</c:v>
                </c:pt>
                <c:pt idx="190">
                  <c:v>897013.49</c:v>
                </c:pt>
                <c:pt idx="191">
                  <c:v>911507.8</c:v>
                </c:pt>
                <c:pt idx="192">
                  <c:v>937471.76</c:v>
                </c:pt>
                <c:pt idx="193">
                  <c:v>962384.451</c:v>
                </c:pt>
                <c:pt idx="194">
                  <c:v>980267.26599999995</c:v>
                </c:pt>
                <c:pt idx="195">
                  <c:v>1016590.853</c:v>
                </c:pt>
                <c:pt idx="196">
                  <c:v>1049218</c:v>
                </c:pt>
                <c:pt idx="197">
                  <c:v>1286359.2039999999</c:v>
                </c:pt>
                <c:pt idx="198">
                  <c:v>1325667.4450000001</c:v>
                </c:pt>
                <c:pt idx="199">
                  <c:v>1356059.1359999999</c:v>
                </c:pt>
                <c:pt idx="200">
                  <c:v>1377247.635</c:v>
                </c:pt>
                <c:pt idx="201">
                  <c:v>1416956.932</c:v>
                </c:pt>
                <c:pt idx="202">
                  <c:v>1481841.2290000001</c:v>
                </c:pt>
                <c:pt idx="203">
                  <c:v>1468343.5959999999</c:v>
                </c:pt>
                <c:pt idx="204">
                  <c:v>1531799.73</c:v>
                </c:pt>
                <c:pt idx="205">
                  <c:v>1544991</c:v>
                </c:pt>
                <c:pt idx="206">
                  <c:v>641683.07299999997</c:v>
                </c:pt>
                <c:pt idx="207">
                  <c:v>664174.11100000003</c:v>
                </c:pt>
                <c:pt idx="208">
                  <c:v>651829.77800000005</c:v>
                </c:pt>
                <c:pt idx="209">
                  <c:v>646559.196999999</c:v>
                </c:pt>
                <c:pt idx="210">
                  <c:v>795161.83</c:v>
                </c:pt>
                <c:pt idx="211">
                  <c:v>719645.86100000003</c:v>
                </c:pt>
                <c:pt idx="212">
                  <c:v>754893.37300000002</c:v>
                </c:pt>
                <c:pt idx="213">
                  <c:v>775633.30199999898</c:v>
                </c:pt>
                <c:pt idx="214">
                  <c:v>773934</c:v>
                </c:pt>
                <c:pt idx="215">
                  <c:v>374952.68300000002</c:v>
                </c:pt>
                <c:pt idx="216">
                  <c:v>352257.93900000001</c:v>
                </c:pt>
                <c:pt idx="217">
                  <c:v>382039.58199999999</c:v>
                </c:pt>
                <c:pt idx="218">
                  <c:v>389980.68699999998</c:v>
                </c:pt>
                <c:pt idx="219">
                  <c:v>408406.74300000002</c:v>
                </c:pt>
                <c:pt idx="220">
                  <c:v>423462.63400000002</c:v>
                </c:pt>
                <c:pt idx="221">
                  <c:v>408642.68199999997</c:v>
                </c:pt>
                <c:pt idx="222">
                  <c:v>438886.53</c:v>
                </c:pt>
                <c:pt idx="223">
                  <c:v>405335</c:v>
                </c:pt>
                <c:pt idx="224">
                  <c:v>777185.897999999</c:v>
                </c:pt>
                <c:pt idx="225">
                  <c:v>807473.54599999997</c:v>
                </c:pt>
                <c:pt idx="226">
                  <c:v>811808.60499999998</c:v>
                </c:pt>
                <c:pt idx="227">
                  <c:v>841510.17599999998</c:v>
                </c:pt>
                <c:pt idx="228">
                  <c:v>820137.08</c:v>
                </c:pt>
                <c:pt idx="229">
                  <c:v>923829.674</c:v>
                </c:pt>
                <c:pt idx="230">
                  <c:v>886298.63300000003</c:v>
                </c:pt>
                <c:pt idx="231">
                  <c:v>945940.62800000003</c:v>
                </c:pt>
                <c:pt idx="232">
                  <c:v>909607</c:v>
                </c:pt>
                <c:pt idx="233">
                  <c:v>131838.68100000001</c:v>
                </c:pt>
                <c:pt idx="234">
                  <c:v>134086.67199999999</c:v>
                </c:pt>
                <c:pt idx="235">
                  <c:v>145949.56299999999</c:v>
                </c:pt>
                <c:pt idx="236">
                  <c:v>146957.829</c:v>
                </c:pt>
                <c:pt idx="237">
                  <c:v>147585.91800000001</c:v>
                </c:pt>
                <c:pt idx="238">
                  <c:v>141968.399</c:v>
                </c:pt>
                <c:pt idx="239">
                  <c:v>175138.568</c:v>
                </c:pt>
                <c:pt idx="240">
                  <c:v>171199.77900000001</c:v>
                </c:pt>
                <c:pt idx="241">
                  <c:v>153831</c:v>
                </c:pt>
                <c:pt idx="242">
                  <c:v>232233.139</c:v>
                </c:pt>
                <c:pt idx="243">
                  <c:v>240049.66699999999</c:v>
                </c:pt>
                <c:pt idx="244">
                  <c:v>245220.826</c:v>
                </c:pt>
                <c:pt idx="245">
                  <c:v>238401.038</c:v>
                </c:pt>
                <c:pt idx="246">
                  <c:v>245056.959</c:v>
                </c:pt>
                <c:pt idx="247">
                  <c:v>261357.283</c:v>
                </c:pt>
                <c:pt idx="248">
                  <c:v>276998.614</c:v>
                </c:pt>
                <c:pt idx="249">
                  <c:v>283440.31599999999</c:v>
                </c:pt>
                <c:pt idx="250">
                  <c:v>267220</c:v>
                </c:pt>
                <c:pt idx="251">
                  <c:v>287539.783</c:v>
                </c:pt>
                <c:pt idx="252">
                  <c:v>301759.87199999997</c:v>
                </c:pt>
                <c:pt idx="253">
                  <c:v>315101.92700000003</c:v>
                </c:pt>
                <c:pt idx="254">
                  <c:v>327820.11800000002</c:v>
                </c:pt>
                <c:pt idx="255">
                  <c:v>344453.005</c:v>
                </c:pt>
                <c:pt idx="256">
                  <c:v>364642.16</c:v>
                </c:pt>
                <c:pt idx="257">
                  <c:v>391236.94199999998</c:v>
                </c:pt>
                <c:pt idx="258">
                  <c:v>422284.65500000003</c:v>
                </c:pt>
                <c:pt idx="259">
                  <c:v>421690</c:v>
                </c:pt>
                <c:pt idx="260">
                  <c:v>169178.11799999999</c:v>
                </c:pt>
                <c:pt idx="261">
                  <c:v>170318.71799999999</c:v>
                </c:pt>
                <c:pt idx="262">
                  <c:v>176033.11300000001</c:v>
                </c:pt>
                <c:pt idx="263">
                  <c:v>181157.38500000001</c:v>
                </c:pt>
                <c:pt idx="264">
                  <c:v>186859.56200000001</c:v>
                </c:pt>
                <c:pt idx="265">
                  <c:v>186227.503</c:v>
                </c:pt>
                <c:pt idx="266">
                  <c:v>184193.99400000001</c:v>
                </c:pt>
                <c:pt idx="267">
                  <c:v>210513.984</c:v>
                </c:pt>
                <c:pt idx="268">
                  <c:v>225300</c:v>
                </c:pt>
                <c:pt idx="269">
                  <c:v>1141421.0090000001</c:v>
                </c:pt>
                <c:pt idx="270">
                  <c:v>1155586.2860000001</c:v>
                </c:pt>
                <c:pt idx="271">
                  <c:v>1173040.6780000001</c:v>
                </c:pt>
                <c:pt idx="272">
                  <c:v>1198409.213</c:v>
                </c:pt>
                <c:pt idx="273">
                  <c:v>1221817.905</c:v>
                </c:pt>
                <c:pt idx="274">
                  <c:v>1247956.83699999</c:v>
                </c:pt>
                <c:pt idx="275">
                  <c:v>1279769.193</c:v>
                </c:pt>
                <c:pt idx="276">
                  <c:v>1301696.476</c:v>
                </c:pt>
                <c:pt idx="277">
                  <c:v>1368792</c:v>
                </c:pt>
                <c:pt idx="278">
                  <c:v>248670.01199999999</c:v>
                </c:pt>
                <c:pt idx="279">
                  <c:v>267827.853</c:v>
                </c:pt>
                <c:pt idx="280">
                  <c:v>266518.14299999998</c:v>
                </c:pt>
                <c:pt idx="281">
                  <c:v>266490.04800000001</c:v>
                </c:pt>
                <c:pt idx="282">
                  <c:v>283262.31300000002</c:v>
                </c:pt>
                <c:pt idx="283">
                  <c:v>283704.397</c:v>
                </c:pt>
                <c:pt idx="284">
                  <c:v>281262.255</c:v>
                </c:pt>
                <c:pt idx="285">
                  <c:v>311244.967</c:v>
                </c:pt>
                <c:pt idx="286">
                  <c:v>318816</c:v>
                </c:pt>
                <c:pt idx="287">
                  <c:v>2562311.1</c:v>
                </c:pt>
                <c:pt idx="288">
                  <c:v>2556539.7110000001</c:v>
                </c:pt>
                <c:pt idx="289">
                  <c:v>2603943.202</c:v>
                </c:pt>
                <c:pt idx="290">
                  <c:v>2622463.33</c:v>
                </c:pt>
                <c:pt idx="291">
                  <c:v>2699961.2089999998</c:v>
                </c:pt>
                <c:pt idx="292">
                  <c:v>2763748.8110000002</c:v>
                </c:pt>
                <c:pt idx="293">
                  <c:v>2802365.3969999999</c:v>
                </c:pt>
                <c:pt idx="294">
                  <c:v>2907767.4980000001</c:v>
                </c:pt>
                <c:pt idx="295">
                  <c:v>3011494</c:v>
                </c:pt>
                <c:pt idx="296">
                  <c:v>1111999.0889999999</c:v>
                </c:pt>
                <c:pt idx="297">
                  <c:v>1165935.5090000001</c:v>
                </c:pt>
                <c:pt idx="298">
                  <c:v>1186079.281</c:v>
                </c:pt>
                <c:pt idx="299">
                  <c:v>1229068.909</c:v>
                </c:pt>
                <c:pt idx="300">
                  <c:v>1321223.4080000001</c:v>
                </c:pt>
                <c:pt idx="301">
                  <c:v>1405682.33</c:v>
                </c:pt>
                <c:pt idx="302">
                  <c:v>1350291.027</c:v>
                </c:pt>
                <c:pt idx="303">
                  <c:v>1410702.808</c:v>
                </c:pt>
                <c:pt idx="304">
                  <c:v>1544859</c:v>
                </c:pt>
                <c:pt idx="305">
                  <c:v>90562.327999999994</c:v>
                </c:pt>
                <c:pt idx="306">
                  <c:v>84914.808000000005</c:v>
                </c:pt>
                <c:pt idx="307">
                  <c:v>125166.103</c:v>
                </c:pt>
                <c:pt idx="308">
                  <c:v>103954.053</c:v>
                </c:pt>
                <c:pt idx="309">
                  <c:v>106637.958</c:v>
                </c:pt>
                <c:pt idx="310">
                  <c:v>101468.091</c:v>
                </c:pt>
                <c:pt idx="311">
                  <c:v>105552.16099999999</c:v>
                </c:pt>
                <c:pt idx="312">
                  <c:v>92400.054000000004</c:v>
                </c:pt>
                <c:pt idx="313">
                  <c:v>126296</c:v>
                </c:pt>
                <c:pt idx="314">
                  <c:v>1557289.45</c:v>
                </c:pt>
                <c:pt idx="315">
                  <c:v>1583869.419</c:v>
                </c:pt>
                <c:pt idx="316">
                  <c:v>1603189.1939999999</c:v>
                </c:pt>
                <c:pt idx="317">
                  <c:v>1635843.513</c:v>
                </c:pt>
                <c:pt idx="318">
                  <c:v>1614601.2220000001</c:v>
                </c:pt>
                <c:pt idx="319">
                  <c:v>1723329.1569999999</c:v>
                </c:pt>
                <c:pt idx="320">
                  <c:v>1685110.091</c:v>
                </c:pt>
                <c:pt idx="321">
                  <c:v>1814291.459</c:v>
                </c:pt>
                <c:pt idx="322">
                  <c:v>1794381</c:v>
                </c:pt>
                <c:pt idx="323">
                  <c:v>480889.26799999998</c:v>
                </c:pt>
                <c:pt idx="324">
                  <c:v>481997.62</c:v>
                </c:pt>
                <c:pt idx="325">
                  <c:v>472157.50199999998</c:v>
                </c:pt>
                <c:pt idx="326">
                  <c:v>510956.10200000001</c:v>
                </c:pt>
                <c:pt idx="327">
                  <c:v>525519.82299999997</c:v>
                </c:pt>
                <c:pt idx="328">
                  <c:v>538171.92200000002</c:v>
                </c:pt>
                <c:pt idx="329">
                  <c:v>602412.299</c:v>
                </c:pt>
                <c:pt idx="330">
                  <c:v>551967.58299999998</c:v>
                </c:pt>
                <c:pt idx="331">
                  <c:v>586249</c:v>
                </c:pt>
                <c:pt idx="332">
                  <c:v>488309.08600000001</c:v>
                </c:pt>
                <c:pt idx="333">
                  <c:v>508488.38799999998</c:v>
                </c:pt>
                <c:pt idx="334">
                  <c:v>509652.783</c:v>
                </c:pt>
                <c:pt idx="335">
                  <c:v>531074.98</c:v>
                </c:pt>
                <c:pt idx="336">
                  <c:v>558167.28099999996</c:v>
                </c:pt>
                <c:pt idx="337">
                  <c:v>583152.55700000003</c:v>
                </c:pt>
                <c:pt idx="338">
                  <c:v>579442.79700000002</c:v>
                </c:pt>
                <c:pt idx="339">
                  <c:v>643979.06999999995</c:v>
                </c:pt>
                <c:pt idx="340">
                  <c:v>637400</c:v>
                </c:pt>
                <c:pt idx="341">
                  <c:v>1919363.99</c:v>
                </c:pt>
                <c:pt idx="342">
                  <c:v>1919785.4129999999</c:v>
                </c:pt>
                <c:pt idx="343">
                  <c:v>1922941.3540000001</c:v>
                </c:pt>
                <c:pt idx="344">
                  <c:v>1963042.446</c:v>
                </c:pt>
                <c:pt idx="345">
                  <c:v>1990010.1780000001</c:v>
                </c:pt>
                <c:pt idx="346">
                  <c:v>2012054.301</c:v>
                </c:pt>
                <c:pt idx="347">
                  <c:v>2045079.628</c:v>
                </c:pt>
                <c:pt idx="348">
                  <c:v>2148218.835</c:v>
                </c:pt>
                <c:pt idx="349">
                  <c:v>2193404</c:v>
                </c:pt>
                <c:pt idx="350">
                  <c:v>149383.14499999999</c:v>
                </c:pt>
                <c:pt idx="351">
                  <c:v>149863.109</c:v>
                </c:pt>
                <c:pt idx="352">
                  <c:v>151001.52799999999</c:v>
                </c:pt>
                <c:pt idx="353">
                  <c:v>152633.95199999999</c:v>
                </c:pt>
                <c:pt idx="354">
                  <c:v>155903.36699999901</c:v>
                </c:pt>
                <c:pt idx="355">
                  <c:v>158893.87599999999</c:v>
                </c:pt>
                <c:pt idx="356">
                  <c:v>177165.527</c:v>
                </c:pt>
                <c:pt idx="357">
                  <c:v>165583.04000000001</c:v>
                </c:pt>
                <c:pt idx="358">
                  <c:v>170144</c:v>
                </c:pt>
                <c:pt idx="359">
                  <c:v>575792.90800000005</c:v>
                </c:pt>
                <c:pt idx="360">
                  <c:v>639194.924</c:v>
                </c:pt>
                <c:pt idx="361">
                  <c:v>604118.67700000003</c:v>
                </c:pt>
                <c:pt idx="362">
                  <c:v>641779.55900000001</c:v>
                </c:pt>
                <c:pt idx="363">
                  <c:v>659818.402</c:v>
                </c:pt>
                <c:pt idx="364">
                  <c:v>698412.38899999997</c:v>
                </c:pt>
                <c:pt idx="365">
                  <c:v>705285.17799999996</c:v>
                </c:pt>
                <c:pt idx="366">
                  <c:v>786816.49100000004</c:v>
                </c:pt>
                <c:pt idx="367">
                  <c:v>780377</c:v>
                </c:pt>
                <c:pt idx="368">
                  <c:v>112907.211</c:v>
                </c:pt>
                <c:pt idx="369">
                  <c:v>104586.02800000001</c:v>
                </c:pt>
                <c:pt idx="370">
                  <c:v>119535.86</c:v>
                </c:pt>
                <c:pt idx="371">
                  <c:v>118608.046</c:v>
                </c:pt>
                <c:pt idx="372">
                  <c:v>116375.47</c:v>
                </c:pt>
                <c:pt idx="373">
                  <c:v>106730.216</c:v>
                </c:pt>
                <c:pt idx="374">
                  <c:v>102343.158</c:v>
                </c:pt>
                <c:pt idx="375">
                  <c:v>117120.72</c:v>
                </c:pt>
                <c:pt idx="376">
                  <c:v>141579</c:v>
                </c:pt>
                <c:pt idx="377">
                  <c:v>783543.45</c:v>
                </c:pt>
                <c:pt idx="378">
                  <c:v>820093.98399999901</c:v>
                </c:pt>
                <c:pt idx="379">
                  <c:v>841051.15800000005</c:v>
                </c:pt>
                <c:pt idx="380">
                  <c:v>855101.16799999995</c:v>
                </c:pt>
                <c:pt idx="381">
                  <c:v>851371.10900000005</c:v>
                </c:pt>
                <c:pt idx="382">
                  <c:v>941353.09600000002</c:v>
                </c:pt>
                <c:pt idx="383">
                  <c:v>943368.57900000003</c:v>
                </c:pt>
                <c:pt idx="384">
                  <c:v>948740.46299999999</c:v>
                </c:pt>
                <c:pt idx="385">
                  <c:v>1059400</c:v>
                </c:pt>
                <c:pt idx="386">
                  <c:v>2387470.173</c:v>
                </c:pt>
                <c:pt idx="387">
                  <c:v>2452203.9920000001</c:v>
                </c:pt>
                <c:pt idx="388">
                  <c:v>2553924.554</c:v>
                </c:pt>
                <c:pt idx="389">
                  <c:v>2621859.8339999998</c:v>
                </c:pt>
                <c:pt idx="390">
                  <c:v>2749728.7420000001</c:v>
                </c:pt>
                <c:pt idx="391">
                  <c:v>2839398.5290000001</c:v>
                </c:pt>
                <c:pt idx="392">
                  <c:v>2910457.787</c:v>
                </c:pt>
                <c:pt idx="393">
                  <c:v>3049051.0619999999</c:v>
                </c:pt>
                <c:pt idx="394">
                  <c:v>3207022</c:v>
                </c:pt>
                <c:pt idx="395">
                  <c:v>231879.217</c:v>
                </c:pt>
                <c:pt idx="396">
                  <c:v>236647.35200000001</c:v>
                </c:pt>
                <c:pt idx="397">
                  <c:v>243691.68299999999</c:v>
                </c:pt>
                <c:pt idx="398">
                  <c:v>253161.978</c:v>
                </c:pt>
                <c:pt idx="399">
                  <c:v>287139.06199999998</c:v>
                </c:pt>
                <c:pt idx="400">
                  <c:v>275476.277</c:v>
                </c:pt>
                <c:pt idx="401">
                  <c:v>287988.467</c:v>
                </c:pt>
                <c:pt idx="402">
                  <c:v>296775.47899999999</c:v>
                </c:pt>
                <c:pt idx="403">
                  <c:v>313983</c:v>
                </c:pt>
                <c:pt idx="404">
                  <c:v>85495.759000000005</c:v>
                </c:pt>
                <c:pt idx="405">
                  <c:v>80000.305999999997</c:v>
                </c:pt>
                <c:pt idx="406">
                  <c:v>99758.611999999994</c:v>
                </c:pt>
                <c:pt idx="407">
                  <c:v>95091.854999999996</c:v>
                </c:pt>
                <c:pt idx="408">
                  <c:v>83027.618999999904</c:v>
                </c:pt>
                <c:pt idx="409">
                  <c:v>78257.342999999993</c:v>
                </c:pt>
                <c:pt idx="410">
                  <c:v>120384.09</c:v>
                </c:pt>
                <c:pt idx="411">
                  <c:v>95052.504000000001</c:v>
                </c:pt>
                <c:pt idx="412">
                  <c:v>115576</c:v>
                </c:pt>
                <c:pt idx="413">
                  <c:v>900528.424</c:v>
                </c:pt>
                <c:pt idx="414">
                  <c:v>889388.50399999996</c:v>
                </c:pt>
                <c:pt idx="415">
                  <c:v>950665.41700000002</c:v>
                </c:pt>
                <c:pt idx="416">
                  <c:v>929517.84299999999</c:v>
                </c:pt>
                <c:pt idx="417">
                  <c:v>1016807.202</c:v>
                </c:pt>
                <c:pt idx="418">
                  <c:v>1052549.0859999999</c:v>
                </c:pt>
                <c:pt idx="419">
                  <c:v>1107706.7150000001</c:v>
                </c:pt>
                <c:pt idx="420">
                  <c:v>1109988.719</c:v>
                </c:pt>
                <c:pt idx="421">
                  <c:v>1152455</c:v>
                </c:pt>
                <c:pt idx="422">
                  <c:v>758541.45</c:v>
                </c:pt>
                <c:pt idx="423">
                  <c:v>775931.86800000002</c:v>
                </c:pt>
                <c:pt idx="424">
                  <c:v>804861.67200000002</c:v>
                </c:pt>
                <c:pt idx="425">
                  <c:v>841912.96900000004</c:v>
                </c:pt>
                <c:pt idx="426">
                  <c:v>862116.53399999999</c:v>
                </c:pt>
                <c:pt idx="427">
                  <c:v>913309.57799999998</c:v>
                </c:pt>
                <c:pt idx="428">
                  <c:v>937088.83900000004</c:v>
                </c:pt>
                <c:pt idx="429">
                  <c:v>973904.46600000001</c:v>
                </c:pt>
                <c:pt idx="430">
                  <c:v>1018265</c:v>
                </c:pt>
                <c:pt idx="431">
                  <c:v>275638.61</c:v>
                </c:pt>
                <c:pt idx="432">
                  <c:v>296625.74300000002</c:v>
                </c:pt>
                <c:pt idx="433">
                  <c:v>289754.25199999998</c:v>
                </c:pt>
                <c:pt idx="434">
                  <c:v>284746.23</c:v>
                </c:pt>
                <c:pt idx="435">
                  <c:v>304333.201</c:v>
                </c:pt>
                <c:pt idx="436">
                  <c:v>324603.81900000002</c:v>
                </c:pt>
                <c:pt idx="437">
                  <c:v>284960.43800000002</c:v>
                </c:pt>
                <c:pt idx="438">
                  <c:v>319091.33299999998</c:v>
                </c:pt>
                <c:pt idx="439">
                  <c:v>323498</c:v>
                </c:pt>
                <c:pt idx="440">
                  <c:v>739565.81499999994</c:v>
                </c:pt>
                <c:pt idx="441">
                  <c:v>745451.95900000003</c:v>
                </c:pt>
                <c:pt idx="442">
                  <c:v>733838.22600000002</c:v>
                </c:pt>
                <c:pt idx="443">
                  <c:v>822207.87100000004</c:v>
                </c:pt>
                <c:pt idx="444">
                  <c:v>778259.40899999999</c:v>
                </c:pt>
                <c:pt idx="445">
                  <c:v>814281.804</c:v>
                </c:pt>
                <c:pt idx="446">
                  <c:v>839462.97600000002</c:v>
                </c:pt>
                <c:pt idx="447">
                  <c:v>854782.946</c:v>
                </c:pt>
                <c:pt idx="448">
                  <c:v>908759</c:v>
                </c:pt>
                <c:pt idx="449">
                  <c:v>62485.84</c:v>
                </c:pt>
                <c:pt idx="450">
                  <c:v>75192.448000000004</c:v>
                </c:pt>
                <c:pt idx="451">
                  <c:v>76423.271999999997</c:v>
                </c:pt>
                <c:pt idx="452">
                  <c:v>93382.505999999994</c:v>
                </c:pt>
                <c:pt idx="453">
                  <c:v>73029.857000000004</c:v>
                </c:pt>
                <c:pt idx="454">
                  <c:v>89446.775999999998</c:v>
                </c:pt>
                <c:pt idx="455">
                  <c:v>82471.879000000001</c:v>
                </c:pt>
                <c:pt idx="456">
                  <c:v>80060.544999999998</c:v>
                </c:pt>
                <c:pt idx="457">
                  <c:v>92750</c:v>
                </c:pt>
              </c:numCache>
            </c:numRef>
          </c:xVal>
          <c:yVal>
            <c:numRef>
              <c:f>Chart3_Data!$D$2:$D$459</c:f>
              <c:numCache>
                <c:formatCode>#,##0.0</c:formatCode>
                <c:ptCount val="458"/>
                <c:pt idx="0">
                  <c:v>727</c:v>
                </c:pt>
                <c:pt idx="1">
                  <c:v>763</c:v>
                </c:pt>
                <c:pt idx="2">
                  <c:v>769.5</c:v>
                </c:pt>
                <c:pt idx="3">
                  <c:v>754</c:v>
                </c:pt>
                <c:pt idx="4">
                  <c:v>789.5</c:v>
                </c:pt>
                <c:pt idx="5">
                  <c:v>782</c:v>
                </c:pt>
                <c:pt idx="6">
                  <c:v>884</c:v>
                </c:pt>
                <c:pt idx="7">
                  <c:v>757</c:v>
                </c:pt>
                <c:pt idx="8">
                  <c:v>940</c:v>
                </c:pt>
                <c:pt idx="9">
                  <c:v>162</c:v>
                </c:pt>
                <c:pt idx="10">
                  <c:v>162</c:v>
                </c:pt>
                <c:pt idx="11">
                  <c:v>162</c:v>
                </c:pt>
                <c:pt idx="12">
                  <c:v>162</c:v>
                </c:pt>
                <c:pt idx="13">
                  <c:v>162</c:v>
                </c:pt>
                <c:pt idx="14">
                  <c:v>162</c:v>
                </c:pt>
                <c:pt idx="15">
                  <c:v>162</c:v>
                </c:pt>
                <c:pt idx="16">
                  <c:v>162</c:v>
                </c:pt>
                <c:pt idx="17">
                  <c:v>162</c:v>
                </c:pt>
                <c:pt idx="18">
                  <c:v>788</c:v>
                </c:pt>
                <c:pt idx="19">
                  <c:v>596</c:v>
                </c:pt>
                <c:pt idx="20">
                  <c:v>558</c:v>
                </c:pt>
                <c:pt idx="21">
                  <c:v>552</c:v>
                </c:pt>
                <c:pt idx="22">
                  <c:v>628</c:v>
                </c:pt>
                <c:pt idx="23">
                  <c:v>584.5</c:v>
                </c:pt>
                <c:pt idx="24">
                  <c:v>632</c:v>
                </c:pt>
                <c:pt idx="25">
                  <c:v>667</c:v>
                </c:pt>
                <c:pt idx="26">
                  <c:v>693</c:v>
                </c:pt>
                <c:pt idx="27">
                  <c:v>547.5</c:v>
                </c:pt>
                <c:pt idx="28">
                  <c:v>516</c:v>
                </c:pt>
                <c:pt idx="29">
                  <c:v>608</c:v>
                </c:pt>
                <c:pt idx="30">
                  <c:v>590</c:v>
                </c:pt>
                <c:pt idx="31">
                  <c:v>650.5</c:v>
                </c:pt>
                <c:pt idx="32">
                  <c:v>530</c:v>
                </c:pt>
                <c:pt idx="33">
                  <c:v>552.5</c:v>
                </c:pt>
                <c:pt idx="34">
                  <c:v>518</c:v>
                </c:pt>
                <c:pt idx="35">
                  <c:v>576</c:v>
                </c:pt>
                <c:pt idx="36">
                  <c:v>5197</c:v>
                </c:pt>
                <c:pt idx="37">
                  <c:v>5229</c:v>
                </c:pt>
                <c:pt idx="38">
                  <c:v>5338</c:v>
                </c:pt>
                <c:pt idx="39">
                  <c:v>5119</c:v>
                </c:pt>
                <c:pt idx="40">
                  <c:v>5694</c:v>
                </c:pt>
                <c:pt idx="41">
                  <c:v>4888</c:v>
                </c:pt>
                <c:pt idx="42">
                  <c:v>5423</c:v>
                </c:pt>
                <c:pt idx="43">
                  <c:v>5085</c:v>
                </c:pt>
                <c:pt idx="44">
                  <c:v>5510</c:v>
                </c:pt>
                <c:pt idx="45">
                  <c:v>474</c:v>
                </c:pt>
                <c:pt idx="46">
                  <c:v>448</c:v>
                </c:pt>
                <c:pt idx="47">
                  <c:v>471</c:v>
                </c:pt>
                <c:pt idx="48">
                  <c:v>442.5</c:v>
                </c:pt>
                <c:pt idx="49">
                  <c:v>451.5</c:v>
                </c:pt>
                <c:pt idx="50">
                  <c:v>494.5</c:v>
                </c:pt>
                <c:pt idx="51">
                  <c:v>516.5</c:v>
                </c:pt>
                <c:pt idx="52">
                  <c:v>400</c:v>
                </c:pt>
                <c:pt idx="53">
                  <c:v>424</c:v>
                </c:pt>
                <c:pt idx="54">
                  <c:v>600</c:v>
                </c:pt>
                <c:pt idx="55">
                  <c:v>522</c:v>
                </c:pt>
                <c:pt idx="56">
                  <c:v>606</c:v>
                </c:pt>
                <c:pt idx="57">
                  <c:v>502</c:v>
                </c:pt>
                <c:pt idx="58">
                  <c:v>543.5</c:v>
                </c:pt>
                <c:pt idx="59">
                  <c:v>560</c:v>
                </c:pt>
                <c:pt idx="60">
                  <c:v>611</c:v>
                </c:pt>
                <c:pt idx="61">
                  <c:v>475.5</c:v>
                </c:pt>
                <c:pt idx="62">
                  <c:v>585.5</c:v>
                </c:pt>
                <c:pt idx="63">
                  <c:v>162</c:v>
                </c:pt>
                <c:pt idx="64">
                  <c:v>167.5</c:v>
                </c:pt>
                <c:pt idx="65">
                  <c:v>162</c:v>
                </c:pt>
                <c:pt idx="66">
                  <c:v>174</c:v>
                </c:pt>
                <c:pt idx="67">
                  <c:v>167.5</c:v>
                </c:pt>
                <c:pt idx="68">
                  <c:v>179.5</c:v>
                </c:pt>
                <c:pt idx="69">
                  <c:v>196</c:v>
                </c:pt>
                <c:pt idx="70">
                  <c:v>162</c:v>
                </c:pt>
                <c:pt idx="71">
                  <c:v>167.5</c:v>
                </c:pt>
                <c:pt idx="72">
                  <c:v>162</c:v>
                </c:pt>
                <c:pt idx="73">
                  <c:v>162</c:v>
                </c:pt>
                <c:pt idx="74">
                  <c:v>162</c:v>
                </c:pt>
                <c:pt idx="75">
                  <c:v>162</c:v>
                </c:pt>
                <c:pt idx="76">
                  <c:v>162</c:v>
                </c:pt>
                <c:pt idx="77">
                  <c:v>162</c:v>
                </c:pt>
                <c:pt idx="78">
                  <c:v>162</c:v>
                </c:pt>
                <c:pt idx="79">
                  <c:v>162</c:v>
                </c:pt>
                <c:pt idx="80">
                  <c:v>1861</c:v>
                </c:pt>
                <c:pt idx="81">
                  <c:v>1904</c:v>
                </c:pt>
                <c:pt idx="82">
                  <c:v>2034</c:v>
                </c:pt>
                <c:pt idx="83">
                  <c:v>1985</c:v>
                </c:pt>
                <c:pt idx="84">
                  <c:v>2136</c:v>
                </c:pt>
                <c:pt idx="85">
                  <c:v>2143</c:v>
                </c:pt>
                <c:pt idx="86">
                  <c:v>2271</c:v>
                </c:pt>
                <c:pt idx="87">
                  <c:v>2260</c:v>
                </c:pt>
                <c:pt idx="88">
                  <c:v>2554</c:v>
                </c:pt>
                <c:pt idx="89">
                  <c:v>1165.5</c:v>
                </c:pt>
                <c:pt idx="90">
                  <c:v>1172</c:v>
                </c:pt>
                <c:pt idx="91">
                  <c:v>1173</c:v>
                </c:pt>
                <c:pt idx="92">
                  <c:v>1117</c:v>
                </c:pt>
                <c:pt idx="93">
                  <c:v>1155.5</c:v>
                </c:pt>
                <c:pt idx="94">
                  <c:v>1133</c:v>
                </c:pt>
                <c:pt idx="95">
                  <c:v>1159</c:v>
                </c:pt>
                <c:pt idx="96">
                  <c:v>1068</c:v>
                </c:pt>
                <c:pt idx="97">
                  <c:v>1117</c:v>
                </c:pt>
                <c:pt idx="98">
                  <c:v>231</c:v>
                </c:pt>
                <c:pt idx="99">
                  <c:v>258</c:v>
                </c:pt>
                <c:pt idx="100">
                  <c:v>463</c:v>
                </c:pt>
                <c:pt idx="101">
                  <c:v>364.5</c:v>
                </c:pt>
                <c:pt idx="102">
                  <c:v>400</c:v>
                </c:pt>
                <c:pt idx="103">
                  <c:v>371.5</c:v>
                </c:pt>
                <c:pt idx="104">
                  <c:v>481.5</c:v>
                </c:pt>
                <c:pt idx="105">
                  <c:v>438</c:v>
                </c:pt>
                <c:pt idx="106">
                  <c:v>539</c:v>
                </c:pt>
                <c:pt idx="107">
                  <c:v>167.5</c:v>
                </c:pt>
                <c:pt idx="108">
                  <c:v>213</c:v>
                </c:pt>
                <c:pt idx="109">
                  <c:v>205</c:v>
                </c:pt>
                <c:pt idx="110">
                  <c:v>194.5</c:v>
                </c:pt>
                <c:pt idx="111">
                  <c:v>232</c:v>
                </c:pt>
                <c:pt idx="112">
                  <c:v>195.5</c:v>
                </c:pt>
                <c:pt idx="113">
                  <c:v>217</c:v>
                </c:pt>
                <c:pt idx="114">
                  <c:v>190.5</c:v>
                </c:pt>
                <c:pt idx="115">
                  <c:v>235.5</c:v>
                </c:pt>
                <c:pt idx="116">
                  <c:v>2006</c:v>
                </c:pt>
                <c:pt idx="117">
                  <c:v>1912</c:v>
                </c:pt>
                <c:pt idx="118">
                  <c:v>2049</c:v>
                </c:pt>
                <c:pt idx="119">
                  <c:v>1983</c:v>
                </c:pt>
                <c:pt idx="120">
                  <c:v>2122</c:v>
                </c:pt>
                <c:pt idx="121">
                  <c:v>2125</c:v>
                </c:pt>
                <c:pt idx="122">
                  <c:v>1997</c:v>
                </c:pt>
                <c:pt idx="123">
                  <c:v>1799</c:v>
                </c:pt>
                <c:pt idx="124">
                  <c:v>2026</c:v>
                </c:pt>
                <c:pt idx="125">
                  <c:v>949</c:v>
                </c:pt>
                <c:pt idx="126">
                  <c:v>973.5</c:v>
                </c:pt>
                <c:pt idx="127">
                  <c:v>812</c:v>
                </c:pt>
                <c:pt idx="128">
                  <c:v>791.5</c:v>
                </c:pt>
                <c:pt idx="129">
                  <c:v>914.5</c:v>
                </c:pt>
                <c:pt idx="130">
                  <c:v>832</c:v>
                </c:pt>
                <c:pt idx="131">
                  <c:v>881.5</c:v>
                </c:pt>
                <c:pt idx="132">
                  <c:v>762.5</c:v>
                </c:pt>
                <c:pt idx="133">
                  <c:v>895.5</c:v>
                </c:pt>
                <c:pt idx="134">
                  <c:v>564.5</c:v>
                </c:pt>
                <c:pt idx="135">
                  <c:v>506</c:v>
                </c:pt>
                <c:pt idx="136">
                  <c:v>569</c:v>
                </c:pt>
                <c:pt idx="137">
                  <c:v>589.5</c:v>
                </c:pt>
                <c:pt idx="138">
                  <c:v>679.5</c:v>
                </c:pt>
                <c:pt idx="139">
                  <c:v>501</c:v>
                </c:pt>
                <c:pt idx="140">
                  <c:v>532</c:v>
                </c:pt>
                <c:pt idx="141">
                  <c:v>443</c:v>
                </c:pt>
                <c:pt idx="142">
                  <c:v>489.5</c:v>
                </c:pt>
                <c:pt idx="143">
                  <c:v>512</c:v>
                </c:pt>
                <c:pt idx="144">
                  <c:v>478.5</c:v>
                </c:pt>
                <c:pt idx="145">
                  <c:v>553</c:v>
                </c:pt>
                <c:pt idx="146">
                  <c:v>555</c:v>
                </c:pt>
                <c:pt idx="147">
                  <c:v>600</c:v>
                </c:pt>
                <c:pt idx="148">
                  <c:v>511.5</c:v>
                </c:pt>
                <c:pt idx="149">
                  <c:v>569</c:v>
                </c:pt>
                <c:pt idx="150">
                  <c:v>451.5</c:v>
                </c:pt>
                <c:pt idx="151">
                  <c:v>476</c:v>
                </c:pt>
                <c:pt idx="152">
                  <c:v>803</c:v>
                </c:pt>
                <c:pt idx="153">
                  <c:v>770</c:v>
                </c:pt>
                <c:pt idx="154">
                  <c:v>761</c:v>
                </c:pt>
                <c:pt idx="155">
                  <c:v>713.5</c:v>
                </c:pt>
                <c:pt idx="156">
                  <c:v>749.5</c:v>
                </c:pt>
                <c:pt idx="157">
                  <c:v>794</c:v>
                </c:pt>
                <c:pt idx="158">
                  <c:v>792.5</c:v>
                </c:pt>
                <c:pt idx="159">
                  <c:v>700</c:v>
                </c:pt>
                <c:pt idx="160">
                  <c:v>742</c:v>
                </c:pt>
                <c:pt idx="161">
                  <c:v>688</c:v>
                </c:pt>
                <c:pt idx="162">
                  <c:v>720.5</c:v>
                </c:pt>
                <c:pt idx="163">
                  <c:v>658.5</c:v>
                </c:pt>
                <c:pt idx="164">
                  <c:v>631.5</c:v>
                </c:pt>
                <c:pt idx="165">
                  <c:v>658.5</c:v>
                </c:pt>
                <c:pt idx="166">
                  <c:v>599.5</c:v>
                </c:pt>
                <c:pt idx="167">
                  <c:v>583.5</c:v>
                </c:pt>
                <c:pt idx="168">
                  <c:v>536</c:v>
                </c:pt>
                <c:pt idx="169">
                  <c:v>597</c:v>
                </c:pt>
                <c:pt idx="170">
                  <c:v>216</c:v>
                </c:pt>
                <c:pt idx="171">
                  <c:v>230.5</c:v>
                </c:pt>
                <c:pt idx="172">
                  <c:v>265</c:v>
                </c:pt>
                <c:pt idx="173">
                  <c:v>195</c:v>
                </c:pt>
                <c:pt idx="174">
                  <c:v>244.5</c:v>
                </c:pt>
                <c:pt idx="175">
                  <c:v>200.5</c:v>
                </c:pt>
                <c:pt idx="176">
                  <c:v>296</c:v>
                </c:pt>
                <c:pt idx="177">
                  <c:v>215</c:v>
                </c:pt>
                <c:pt idx="178">
                  <c:v>256</c:v>
                </c:pt>
                <c:pt idx="179">
                  <c:v>741.5</c:v>
                </c:pt>
                <c:pt idx="180">
                  <c:v>762</c:v>
                </c:pt>
                <c:pt idx="181">
                  <c:v>865</c:v>
                </c:pt>
                <c:pt idx="182">
                  <c:v>788</c:v>
                </c:pt>
                <c:pt idx="183">
                  <c:v>918</c:v>
                </c:pt>
                <c:pt idx="184">
                  <c:v>810.5</c:v>
                </c:pt>
                <c:pt idx="185">
                  <c:v>997.5</c:v>
                </c:pt>
                <c:pt idx="186">
                  <c:v>846.5</c:v>
                </c:pt>
                <c:pt idx="187">
                  <c:v>835.5</c:v>
                </c:pt>
                <c:pt idx="188">
                  <c:v>1178</c:v>
                </c:pt>
                <c:pt idx="189">
                  <c:v>1148</c:v>
                </c:pt>
                <c:pt idx="190">
                  <c:v>1262</c:v>
                </c:pt>
                <c:pt idx="191">
                  <c:v>1215</c:v>
                </c:pt>
                <c:pt idx="192">
                  <c:v>1396.5</c:v>
                </c:pt>
                <c:pt idx="193">
                  <c:v>1187</c:v>
                </c:pt>
                <c:pt idx="194">
                  <c:v>1375</c:v>
                </c:pt>
                <c:pt idx="195">
                  <c:v>1109.5</c:v>
                </c:pt>
                <c:pt idx="196">
                  <c:v>1301.5</c:v>
                </c:pt>
                <c:pt idx="197">
                  <c:v>1293</c:v>
                </c:pt>
                <c:pt idx="198">
                  <c:v>1273.5</c:v>
                </c:pt>
                <c:pt idx="199">
                  <c:v>1464.5</c:v>
                </c:pt>
                <c:pt idx="200">
                  <c:v>1334.5</c:v>
                </c:pt>
                <c:pt idx="201">
                  <c:v>1586</c:v>
                </c:pt>
                <c:pt idx="202">
                  <c:v>1553</c:v>
                </c:pt>
                <c:pt idx="203">
                  <c:v>1607</c:v>
                </c:pt>
                <c:pt idx="204">
                  <c:v>1354</c:v>
                </c:pt>
                <c:pt idx="205">
                  <c:v>1495</c:v>
                </c:pt>
                <c:pt idx="206">
                  <c:v>515.5</c:v>
                </c:pt>
                <c:pt idx="207">
                  <c:v>520</c:v>
                </c:pt>
                <c:pt idx="208">
                  <c:v>573</c:v>
                </c:pt>
                <c:pt idx="209">
                  <c:v>571</c:v>
                </c:pt>
                <c:pt idx="210">
                  <c:v>639</c:v>
                </c:pt>
                <c:pt idx="211">
                  <c:v>506</c:v>
                </c:pt>
                <c:pt idx="212">
                  <c:v>629.5</c:v>
                </c:pt>
                <c:pt idx="213">
                  <c:v>429.5</c:v>
                </c:pt>
                <c:pt idx="214">
                  <c:v>568.5</c:v>
                </c:pt>
                <c:pt idx="215">
                  <c:v>453.5</c:v>
                </c:pt>
                <c:pt idx="216">
                  <c:v>429.5</c:v>
                </c:pt>
                <c:pt idx="217">
                  <c:v>484</c:v>
                </c:pt>
                <c:pt idx="218">
                  <c:v>443.5</c:v>
                </c:pt>
                <c:pt idx="219">
                  <c:v>591.5</c:v>
                </c:pt>
                <c:pt idx="220">
                  <c:v>552</c:v>
                </c:pt>
                <c:pt idx="221">
                  <c:v>641.5</c:v>
                </c:pt>
                <c:pt idx="222">
                  <c:v>615.5</c:v>
                </c:pt>
                <c:pt idx="223">
                  <c:v>585</c:v>
                </c:pt>
                <c:pt idx="224">
                  <c:v>1117</c:v>
                </c:pt>
                <c:pt idx="225">
                  <c:v>1004</c:v>
                </c:pt>
                <c:pt idx="226">
                  <c:v>1014.5</c:v>
                </c:pt>
                <c:pt idx="227">
                  <c:v>1028</c:v>
                </c:pt>
                <c:pt idx="228">
                  <c:v>1134.5</c:v>
                </c:pt>
                <c:pt idx="229">
                  <c:v>1099</c:v>
                </c:pt>
                <c:pt idx="230">
                  <c:v>1153.5</c:v>
                </c:pt>
                <c:pt idx="231">
                  <c:v>956</c:v>
                </c:pt>
                <c:pt idx="232">
                  <c:v>1110.5</c:v>
                </c:pt>
                <c:pt idx="233">
                  <c:v>180</c:v>
                </c:pt>
                <c:pt idx="234">
                  <c:v>192.5</c:v>
                </c:pt>
                <c:pt idx="235">
                  <c:v>180</c:v>
                </c:pt>
                <c:pt idx="236">
                  <c:v>187.5</c:v>
                </c:pt>
                <c:pt idx="237">
                  <c:v>215</c:v>
                </c:pt>
                <c:pt idx="238">
                  <c:v>190</c:v>
                </c:pt>
                <c:pt idx="239">
                  <c:v>202</c:v>
                </c:pt>
                <c:pt idx="240">
                  <c:v>168.5</c:v>
                </c:pt>
                <c:pt idx="241">
                  <c:v>198</c:v>
                </c:pt>
                <c:pt idx="242">
                  <c:v>247</c:v>
                </c:pt>
                <c:pt idx="243">
                  <c:v>256</c:v>
                </c:pt>
                <c:pt idx="244">
                  <c:v>301.5</c:v>
                </c:pt>
                <c:pt idx="245">
                  <c:v>276</c:v>
                </c:pt>
                <c:pt idx="246">
                  <c:v>320.5</c:v>
                </c:pt>
                <c:pt idx="247">
                  <c:v>295</c:v>
                </c:pt>
                <c:pt idx="248">
                  <c:v>320.5</c:v>
                </c:pt>
                <c:pt idx="249">
                  <c:v>295</c:v>
                </c:pt>
                <c:pt idx="250">
                  <c:v>342</c:v>
                </c:pt>
                <c:pt idx="251">
                  <c:v>347.5</c:v>
                </c:pt>
                <c:pt idx="252">
                  <c:v>318.5</c:v>
                </c:pt>
                <c:pt idx="253">
                  <c:v>321</c:v>
                </c:pt>
                <c:pt idx="254">
                  <c:v>368</c:v>
                </c:pt>
                <c:pt idx="255">
                  <c:v>329.5</c:v>
                </c:pt>
                <c:pt idx="256">
                  <c:v>501.5</c:v>
                </c:pt>
                <c:pt idx="257">
                  <c:v>462.5</c:v>
                </c:pt>
                <c:pt idx="258">
                  <c:v>381</c:v>
                </c:pt>
                <c:pt idx="259">
                  <c:v>444</c:v>
                </c:pt>
                <c:pt idx="260">
                  <c:v>193</c:v>
                </c:pt>
                <c:pt idx="261">
                  <c:v>202.5</c:v>
                </c:pt>
                <c:pt idx="262">
                  <c:v>234.5</c:v>
                </c:pt>
                <c:pt idx="263">
                  <c:v>228.5</c:v>
                </c:pt>
                <c:pt idx="264">
                  <c:v>224</c:v>
                </c:pt>
                <c:pt idx="265">
                  <c:v>198.5</c:v>
                </c:pt>
                <c:pt idx="266">
                  <c:v>261.5</c:v>
                </c:pt>
                <c:pt idx="267">
                  <c:v>189</c:v>
                </c:pt>
                <c:pt idx="268">
                  <c:v>228.5</c:v>
                </c:pt>
                <c:pt idx="269">
                  <c:v>1092</c:v>
                </c:pt>
                <c:pt idx="270">
                  <c:v>946.5</c:v>
                </c:pt>
                <c:pt idx="271">
                  <c:v>1016</c:v>
                </c:pt>
                <c:pt idx="272">
                  <c:v>970</c:v>
                </c:pt>
                <c:pt idx="273">
                  <c:v>1164</c:v>
                </c:pt>
                <c:pt idx="274">
                  <c:v>1039.5</c:v>
                </c:pt>
                <c:pt idx="275">
                  <c:v>1234</c:v>
                </c:pt>
                <c:pt idx="276">
                  <c:v>1030</c:v>
                </c:pt>
                <c:pt idx="277">
                  <c:v>1137.5</c:v>
                </c:pt>
                <c:pt idx="278">
                  <c:v>238</c:v>
                </c:pt>
                <c:pt idx="279">
                  <c:v>249</c:v>
                </c:pt>
                <c:pt idx="280">
                  <c:v>274.5</c:v>
                </c:pt>
                <c:pt idx="281">
                  <c:v>229</c:v>
                </c:pt>
                <c:pt idx="282">
                  <c:v>274</c:v>
                </c:pt>
                <c:pt idx="283">
                  <c:v>246</c:v>
                </c:pt>
                <c:pt idx="284">
                  <c:v>241</c:v>
                </c:pt>
                <c:pt idx="285">
                  <c:v>240.5</c:v>
                </c:pt>
                <c:pt idx="286">
                  <c:v>246</c:v>
                </c:pt>
                <c:pt idx="287">
                  <c:v>3878</c:v>
                </c:pt>
                <c:pt idx="288">
                  <c:v>4065</c:v>
                </c:pt>
                <c:pt idx="289">
                  <c:v>4296</c:v>
                </c:pt>
                <c:pt idx="290">
                  <c:v>3869</c:v>
                </c:pt>
                <c:pt idx="291">
                  <c:v>4282</c:v>
                </c:pt>
                <c:pt idx="292">
                  <c:v>4030</c:v>
                </c:pt>
                <c:pt idx="293">
                  <c:v>4298</c:v>
                </c:pt>
                <c:pt idx="294">
                  <c:v>3903</c:v>
                </c:pt>
                <c:pt idx="295">
                  <c:v>3955</c:v>
                </c:pt>
                <c:pt idx="296">
                  <c:v>1432</c:v>
                </c:pt>
                <c:pt idx="297">
                  <c:v>1436</c:v>
                </c:pt>
                <c:pt idx="298">
                  <c:v>1344</c:v>
                </c:pt>
                <c:pt idx="299">
                  <c:v>1597</c:v>
                </c:pt>
                <c:pt idx="300">
                  <c:v>1586</c:v>
                </c:pt>
                <c:pt idx="301">
                  <c:v>1528</c:v>
                </c:pt>
                <c:pt idx="302">
                  <c:v>1778</c:v>
                </c:pt>
                <c:pt idx="303">
                  <c:v>1550</c:v>
                </c:pt>
                <c:pt idx="304">
                  <c:v>1690</c:v>
                </c:pt>
                <c:pt idx="305">
                  <c:v>174</c:v>
                </c:pt>
                <c:pt idx="306">
                  <c:v>167.5</c:v>
                </c:pt>
                <c:pt idx="307">
                  <c:v>162</c:v>
                </c:pt>
                <c:pt idx="308">
                  <c:v>174</c:v>
                </c:pt>
                <c:pt idx="309">
                  <c:v>178</c:v>
                </c:pt>
                <c:pt idx="310">
                  <c:v>203.5</c:v>
                </c:pt>
                <c:pt idx="311">
                  <c:v>191</c:v>
                </c:pt>
                <c:pt idx="312">
                  <c:v>162</c:v>
                </c:pt>
                <c:pt idx="313">
                  <c:v>162</c:v>
                </c:pt>
                <c:pt idx="314">
                  <c:v>1640</c:v>
                </c:pt>
                <c:pt idx="315">
                  <c:v>1669</c:v>
                </c:pt>
                <c:pt idx="316">
                  <c:v>1892</c:v>
                </c:pt>
                <c:pt idx="317">
                  <c:v>1881</c:v>
                </c:pt>
                <c:pt idx="318">
                  <c:v>2005</c:v>
                </c:pt>
                <c:pt idx="319">
                  <c:v>2025</c:v>
                </c:pt>
                <c:pt idx="320">
                  <c:v>2093</c:v>
                </c:pt>
                <c:pt idx="321">
                  <c:v>1773</c:v>
                </c:pt>
                <c:pt idx="322">
                  <c:v>1888</c:v>
                </c:pt>
                <c:pt idx="323">
                  <c:v>660</c:v>
                </c:pt>
                <c:pt idx="324">
                  <c:v>615</c:v>
                </c:pt>
                <c:pt idx="325">
                  <c:v>678</c:v>
                </c:pt>
                <c:pt idx="326">
                  <c:v>432.5</c:v>
                </c:pt>
                <c:pt idx="327">
                  <c:v>560</c:v>
                </c:pt>
                <c:pt idx="328">
                  <c:v>523.5</c:v>
                </c:pt>
                <c:pt idx="329">
                  <c:v>571.5</c:v>
                </c:pt>
                <c:pt idx="330">
                  <c:v>398</c:v>
                </c:pt>
                <c:pt idx="331">
                  <c:v>482</c:v>
                </c:pt>
                <c:pt idx="332">
                  <c:v>380.5</c:v>
                </c:pt>
                <c:pt idx="333">
                  <c:v>355.5</c:v>
                </c:pt>
                <c:pt idx="334">
                  <c:v>336</c:v>
                </c:pt>
                <c:pt idx="335">
                  <c:v>319</c:v>
                </c:pt>
                <c:pt idx="336">
                  <c:v>392</c:v>
                </c:pt>
                <c:pt idx="337">
                  <c:v>334.5</c:v>
                </c:pt>
                <c:pt idx="338">
                  <c:v>371.5</c:v>
                </c:pt>
                <c:pt idx="339">
                  <c:v>335</c:v>
                </c:pt>
                <c:pt idx="340">
                  <c:v>464.5</c:v>
                </c:pt>
                <c:pt idx="341">
                  <c:v>2188</c:v>
                </c:pt>
                <c:pt idx="342">
                  <c:v>2047</c:v>
                </c:pt>
                <c:pt idx="343">
                  <c:v>2426</c:v>
                </c:pt>
                <c:pt idx="344">
                  <c:v>2112</c:v>
                </c:pt>
                <c:pt idx="345">
                  <c:v>2536</c:v>
                </c:pt>
                <c:pt idx="346">
                  <c:v>2163</c:v>
                </c:pt>
                <c:pt idx="347">
                  <c:v>2560</c:v>
                </c:pt>
                <c:pt idx="348">
                  <c:v>2171</c:v>
                </c:pt>
                <c:pt idx="349">
                  <c:v>2393</c:v>
                </c:pt>
                <c:pt idx="350">
                  <c:v>209.5</c:v>
                </c:pt>
                <c:pt idx="351">
                  <c:v>221</c:v>
                </c:pt>
                <c:pt idx="352">
                  <c:v>231.5</c:v>
                </c:pt>
                <c:pt idx="353">
                  <c:v>179.5</c:v>
                </c:pt>
                <c:pt idx="354">
                  <c:v>210.5</c:v>
                </c:pt>
                <c:pt idx="355">
                  <c:v>200</c:v>
                </c:pt>
                <c:pt idx="356">
                  <c:v>256.5</c:v>
                </c:pt>
                <c:pt idx="357">
                  <c:v>174</c:v>
                </c:pt>
                <c:pt idx="358">
                  <c:v>214</c:v>
                </c:pt>
                <c:pt idx="359">
                  <c:v>576</c:v>
                </c:pt>
                <c:pt idx="360">
                  <c:v>607.5</c:v>
                </c:pt>
                <c:pt idx="361">
                  <c:v>618</c:v>
                </c:pt>
                <c:pt idx="362">
                  <c:v>573.5</c:v>
                </c:pt>
                <c:pt idx="363">
                  <c:v>578</c:v>
                </c:pt>
                <c:pt idx="364">
                  <c:v>544.5</c:v>
                </c:pt>
                <c:pt idx="365">
                  <c:v>683</c:v>
                </c:pt>
                <c:pt idx="366">
                  <c:v>510.5</c:v>
                </c:pt>
                <c:pt idx="367">
                  <c:v>566</c:v>
                </c:pt>
                <c:pt idx="368">
                  <c:v>178.5</c:v>
                </c:pt>
                <c:pt idx="369">
                  <c:v>191</c:v>
                </c:pt>
                <c:pt idx="370">
                  <c:v>188.5</c:v>
                </c:pt>
                <c:pt idx="371">
                  <c:v>209.5</c:v>
                </c:pt>
                <c:pt idx="372">
                  <c:v>211</c:v>
                </c:pt>
                <c:pt idx="373">
                  <c:v>204</c:v>
                </c:pt>
                <c:pt idx="374">
                  <c:v>221.5</c:v>
                </c:pt>
                <c:pt idx="375">
                  <c:v>205</c:v>
                </c:pt>
                <c:pt idx="376">
                  <c:v>203.5</c:v>
                </c:pt>
                <c:pt idx="377">
                  <c:v>1096</c:v>
                </c:pt>
                <c:pt idx="378">
                  <c:v>1117</c:v>
                </c:pt>
                <c:pt idx="379">
                  <c:v>1192</c:v>
                </c:pt>
                <c:pt idx="380">
                  <c:v>1200.5</c:v>
                </c:pt>
                <c:pt idx="381">
                  <c:v>1259.5</c:v>
                </c:pt>
                <c:pt idx="382">
                  <c:v>1248</c:v>
                </c:pt>
                <c:pt idx="383">
                  <c:v>1438</c:v>
                </c:pt>
                <c:pt idx="384">
                  <c:v>1212</c:v>
                </c:pt>
                <c:pt idx="385">
                  <c:v>1321</c:v>
                </c:pt>
                <c:pt idx="386">
                  <c:v>2512</c:v>
                </c:pt>
                <c:pt idx="387">
                  <c:v>2435</c:v>
                </c:pt>
                <c:pt idx="388">
                  <c:v>2473</c:v>
                </c:pt>
                <c:pt idx="389">
                  <c:v>2435</c:v>
                </c:pt>
                <c:pt idx="390">
                  <c:v>2608</c:v>
                </c:pt>
                <c:pt idx="391">
                  <c:v>2552</c:v>
                </c:pt>
                <c:pt idx="392">
                  <c:v>2575</c:v>
                </c:pt>
                <c:pt idx="393">
                  <c:v>2260</c:v>
                </c:pt>
                <c:pt idx="394">
                  <c:v>2290</c:v>
                </c:pt>
                <c:pt idx="395">
                  <c:v>237</c:v>
                </c:pt>
                <c:pt idx="396">
                  <c:v>281</c:v>
                </c:pt>
                <c:pt idx="397">
                  <c:v>284</c:v>
                </c:pt>
                <c:pt idx="398">
                  <c:v>269.5</c:v>
                </c:pt>
                <c:pt idx="399">
                  <c:v>333.5</c:v>
                </c:pt>
                <c:pt idx="400">
                  <c:v>289.5</c:v>
                </c:pt>
                <c:pt idx="401">
                  <c:v>287</c:v>
                </c:pt>
                <c:pt idx="402">
                  <c:v>291</c:v>
                </c:pt>
                <c:pt idx="403">
                  <c:v>239.5</c:v>
                </c:pt>
                <c:pt idx="404">
                  <c:v>162</c:v>
                </c:pt>
                <c:pt idx="405">
                  <c:v>162</c:v>
                </c:pt>
                <c:pt idx="406">
                  <c:v>162</c:v>
                </c:pt>
                <c:pt idx="407">
                  <c:v>162</c:v>
                </c:pt>
                <c:pt idx="408">
                  <c:v>162</c:v>
                </c:pt>
                <c:pt idx="409">
                  <c:v>162</c:v>
                </c:pt>
                <c:pt idx="410">
                  <c:v>177.5</c:v>
                </c:pt>
                <c:pt idx="411">
                  <c:v>162</c:v>
                </c:pt>
                <c:pt idx="412">
                  <c:v>162</c:v>
                </c:pt>
                <c:pt idx="413">
                  <c:v>1029</c:v>
                </c:pt>
                <c:pt idx="414">
                  <c:v>1041</c:v>
                </c:pt>
                <c:pt idx="415">
                  <c:v>1204</c:v>
                </c:pt>
                <c:pt idx="416">
                  <c:v>1109.5</c:v>
                </c:pt>
                <c:pt idx="417">
                  <c:v>1230.5</c:v>
                </c:pt>
                <c:pt idx="418">
                  <c:v>1229</c:v>
                </c:pt>
                <c:pt idx="419">
                  <c:v>1206</c:v>
                </c:pt>
                <c:pt idx="420">
                  <c:v>982</c:v>
                </c:pt>
                <c:pt idx="421">
                  <c:v>1036</c:v>
                </c:pt>
                <c:pt idx="422">
                  <c:v>544</c:v>
                </c:pt>
                <c:pt idx="423">
                  <c:v>472</c:v>
                </c:pt>
                <c:pt idx="424">
                  <c:v>614</c:v>
                </c:pt>
                <c:pt idx="425">
                  <c:v>579.5</c:v>
                </c:pt>
                <c:pt idx="426">
                  <c:v>650</c:v>
                </c:pt>
                <c:pt idx="427">
                  <c:v>558.5</c:v>
                </c:pt>
                <c:pt idx="428">
                  <c:v>711.5</c:v>
                </c:pt>
                <c:pt idx="429">
                  <c:v>644.5</c:v>
                </c:pt>
                <c:pt idx="430">
                  <c:v>868.5</c:v>
                </c:pt>
                <c:pt idx="431">
                  <c:v>350</c:v>
                </c:pt>
                <c:pt idx="432">
                  <c:v>361.5</c:v>
                </c:pt>
                <c:pt idx="433">
                  <c:v>338</c:v>
                </c:pt>
                <c:pt idx="434">
                  <c:v>344.5</c:v>
                </c:pt>
                <c:pt idx="435">
                  <c:v>396</c:v>
                </c:pt>
                <c:pt idx="436">
                  <c:v>344</c:v>
                </c:pt>
                <c:pt idx="437">
                  <c:v>408</c:v>
                </c:pt>
                <c:pt idx="438">
                  <c:v>306</c:v>
                </c:pt>
                <c:pt idx="439">
                  <c:v>366</c:v>
                </c:pt>
                <c:pt idx="440">
                  <c:v>818</c:v>
                </c:pt>
                <c:pt idx="441">
                  <c:v>780</c:v>
                </c:pt>
                <c:pt idx="442">
                  <c:v>846.5</c:v>
                </c:pt>
                <c:pt idx="443">
                  <c:v>880.5</c:v>
                </c:pt>
                <c:pt idx="444">
                  <c:v>976</c:v>
                </c:pt>
                <c:pt idx="445">
                  <c:v>837.5</c:v>
                </c:pt>
                <c:pt idx="446">
                  <c:v>925.5</c:v>
                </c:pt>
                <c:pt idx="447">
                  <c:v>714.5</c:v>
                </c:pt>
                <c:pt idx="448">
                  <c:v>833</c:v>
                </c:pt>
                <c:pt idx="449">
                  <c:v>167.5</c:v>
                </c:pt>
                <c:pt idx="450">
                  <c:v>167.5</c:v>
                </c:pt>
                <c:pt idx="451">
                  <c:v>175</c:v>
                </c:pt>
                <c:pt idx="452">
                  <c:v>162</c:v>
                </c:pt>
                <c:pt idx="453">
                  <c:v>169.5</c:v>
                </c:pt>
                <c:pt idx="454">
                  <c:v>162</c:v>
                </c:pt>
                <c:pt idx="455">
                  <c:v>162</c:v>
                </c:pt>
                <c:pt idx="456">
                  <c:v>162</c:v>
                </c:pt>
                <c:pt idx="457">
                  <c:v>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2C-4D41-96CC-84AFADEE0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824384"/>
        <c:axId val="898472512"/>
      </c:scatterChart>
      <c:valAx>
        <c:axId val="96282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Population 65+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472512"/>
        <c:crosses val="autoZero"/>
        <c:crossBetween val="midCat"/>
      </c:valAx>
      <c:valAx>
        <c:axId val="8984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Influenza Deaths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2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Population &amp; Influenza Deaths for Under 65 Years of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Chart3_Data!$B$1</c:f>
              <c:strCache>
                <c:ptCount val="1"/>
                <c:pt idx="0">
                  <c:v>Deaths_Under_65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C00000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895042697127641E-2"/>
                  <c:y val="-5.057825916556810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>
                        <a:solidFill>
                          <a:schemeClr val="tx1"/>
                        </a:solidFill>
                      </a:rPr>
                      <a:t>y = 2E-05x + 391.72</a:t>
                    </a:r>
                    <a:br>
                      <a:rPr lang="en-US" sz="1100" baseline="0">
                        <a:solidFill>
                          <a:schemeClr val="tx1"/>
                        </a:solidFill>
                      </a:rPr>
                    </a:br>
                    <a:r>
                      <a:rPr lang="en-US" sz="1100" baseline="0">
                        <a:solidFill>
                          <a:schemeClr val="tx1"/>
                        </a:solidFill>
                      </a:rPr>
                      <a:t>R² = 0.8392</a:t>
                    </a:r>
                    <a:endParaRPr lang="en-US" sz="1100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Chart3_Data!$A$2:$A$459</c:f>
              <c:numCache>
                <c:formatCode>#,##0</c:formatCode>
                <c:ptCount val="458"/>
                <c:pt idx="0">
                  <c:v>4077928.781</c:v>
                </c:pt>
                <c:pt idx="1">
                  <c:v>4207655.7259999998</c:v>
                </c:pt>
                <c:pt idx="2">
                  <c:v>4382426.7300000004</c:v>
                </c:pt>
                <c:pt idx="3">
                  <c:v>4185178.0260000001</c:v>
                </c:pt>
                <c:pt idx="4">
                  <c:v>4179281.43</c:v>
                </c:pt>
                <c:pt idx="5">
                  <c:v>3956957.0359999998</c:v>
                </c:pt>
                <c:pt idx="6">
                  <c:v>4022073.395</c:v>
                </c:pt>
                <c:pt idx="7">
                  <c:v>4173074.8080000002</c:v>
                </c:pt>
                <c:pt idx="8">
                  <c:v>4010307</c:v>
                </c:pt>
                <c:pt idx="9">
                  <c:v>680233.96200000006</c:v>
                </c:pt>
                <c:pt idx="10">
                  <c:v>648359.84</c:v>
                </c:pt>
                <c:pt idx="11">
                  <c:v>624306.16099999996</c:v>
                </c:pt>
                <c:pt idx="12">
                  <c:v>622588.28399999999</c:v>
                </c:pt>
                <c:pt idx="13">
                  <c:v>661008.99699999997</c:v>
                </c:pt>
                <c:pt idx="14">
                  <c:v>589629.27800000005</c:v>
                </c:pt>
                <c:pt idx="15">
                  <c:v>636479.33100000001</c:v>
                </c:pt>
                <c:pt idx="16">
                  <c:v>651876.82200000004</c:v>
                </c:pt>
                <c:pt idx="17">
                  <c:v>651681</c:v>
                </c:pt>
                <c:pt idx="18">
                  <c:v>5508902.5250000004</c:v>
                </c:pt>
                <c:pt idx="19">
                  <c:v>5441128.7070000004</c:v>
                </c:pt>
                <c:pt idx="20">
                  <c:v>5439685.4230000004</c:v>
                </c:pt>
                <c:pt idx="21">
                  <c:v>5558974.7869999995</c:v>
                </c:pt>
                <c:pt idx="22">
                  <c:v>5583920.7640000004</c:v>
                </c:pt>
                <c:pt idx="23">
                  <c:v>5577447.9630000005</c:v>
                </c:pt>
                <c:pt idx="24">
                  <c:v>5523563.6129999999</c:v>
                </c:pt>
                <c:pt idx="25">
                  <c:v>5536113.8629999999</c:v>
                </c:pt>
                <c:pt idx="26">
                  <c:v>5649633</c:v>
                </c:pt>
                <c:pt idx="27">
                  <c:v>2445092.196</c:v>
                </c:pt>
                <c:pt idx="28">
                  <c:v>2605607.3530000001</c:v>
                </c:pt>
                <c:pt idx="29">
                  <c:v>2546497.9550000001</c:v>
                </c:pt>
                <c:pt idx="30">
                  <c:v>2614284.7969999998</c:v>
                </c:pt>
                <c:pt idx="31">
                  <c:v>2593175.8139999998</c:v>
                </c:pt>
                <c:pt idx="32">
                  <c:v>2517489.551</c:v>
                </c:pt>
                <c:pt idx="33">
                  <c:v>2617501.0520000001</c:v>
                </c:pt>
                <c:pt idx="34">
                  <c:v>2601757.3659999999</c:v>
                </c:pt>
                <c:pt idx="35">
                  <c:v>2648828</c:v>
                </c:pt>
                <c:pt idx="36">
                  <c:v>32389754.631999999</c:v>
                </c:pt>
                <c:pt idx="37">
                  <c:v>32379711.412</c:v>
                </c:pt>
                <c:pt idx="38">
                  <c:v>32838531.204999998</c:v>
                </c:pt>
                <c:pt idx="39">
                  <c:v>33037936.693999998</c:v>
                </c:pt>
                <c:pt idx="40">
                  <c:v>33191090.136999998</c:v>
                </c:pt>
                <c:pt idx="41">
                  <c:v>33479940.355</c:v>
                </c:pt>
                <c:pt idx="42">
                  <c:v>33840956.848999999</c:v>
                </c:pt>
                <c:pt idx="43">
                  <c:v>33838735.306999996</c:v>
                </c:pt>
                <c:pt idx="44">
                  <c:v>33645050</c:v>
                </c:pt>
                <c:pt idx="45">
                  <c:v>4363960.5750000002</c:v>
                </c:pt>
                <c:pt idx="46">
                  <c:v>4391400.3760000002</c:v>
                </c:pt>
                <c:pt idx="47">
                  <c:v>4501638.1919999998</c:v>
                </c:pt>
                <c:pt idx="48">
                  <c:v>4447039.4460000005</c:v>
                </c:pt>
                <c:pt idx="49">
                  <c:v>4581162.6830000002</c:v>
                </c:pt>
                <c:pt idx="50">
                  <c:v>4644402.0860000001</c:v>
                </c:pt>
                <c:pt idx="51">
                  <c:v>5138309.1129999999</c:v>
                </c:pt>
                <c:pt idx="52">
                  <c:v>4676892.1809999999</c:v>
                </c:pt>
                <c:pt idx="53">
                  <c:v>5132875</c:v>
                </c:pt>
                <c:pt idx="54">
                  <c:v>3018554.7050000001</c:v>
                </c:pt>
                <c:pt idx="55">
                  <c:v>3055024.8390000002</c:v>
                </c:pt>
                <c:pt idx="56">
                  <c:v>3055379.196</c:v>
                </c:pt>
                <c:pt idx="57">
                  <c:v>3056953.71</c:v>
                </c:pt>
                <c:pt idx="58">
                  <c:v>3060943.5240000002</c:v>
                </c:pt>
                <c:pt idx="59">
                  <c:v>3064320.074</c:v>
                </c:pt>
                <c:pt idx="60">
                  <c:v>3052999.2420000001</c:v>
                </c:pt>
                <c:pt idx="61">
                  <c:v>3037097.79</c:v>
                </c:pt>
                <c:pt idx="62">
                  <c:v>3018721</c:v>
                </c:pt>
                <c:pt idx="63">
                  <c:v>745245.96199999901</c:v>
                </c:pt>
                <c:pt idx="64">
                  <c:v>758912.554</c:v>
                </c:pt>
                <c:pt idx="65">
                  <c:v>763429.57799999998</c:v>
                </c:pt>
                <c:pt idx="66">
                  <c:v>768807.01</c:v>
                </c:pt>
                <c:pt idx="67">
                  <c:v>773012.60800000001</c:v>
                </c:pt>
                <c:pt idx="68">
                  <c:v>776040.39500000002</c:v>
                </c:pt>
                <c:pt idx="69">
                  <c:v>778731.78099999996</c:v>
                </c:pt>
                <c:pt idx="70">
                  <c:v>781548.20699999901</c:v>
                </c:pt>
                <c:pt idx="71">
                  <c:v>783167</c:v>
                </c:pt>
                <c:pt idx="72">
                  <c:v>519586.33899999998</c:v>
                </c:pt>
                <c:pt idx="73">
                  <c:v>518362.8</c:v>
                </c:pt>
                <c:pt idx="74">
                  <c:v>535490.95600000001</c:v>
                </c:pt>
                <c:pt idx="75">
                  <c:v>547523.96400000004</c:v>
                </c:pt>
                <c:pt idx="76">
                  <c:v>562123.83199999901</c:v>
                </c:pt>
                <c:pt idx="77">
                  <c:v>573670.82399999897</c:v>
                </c:pt>
                <c:pt idx="78">
                  <c:v>585199.99199999997</c:v>
                </c:pt>
                <c:pt idx="79">
                  <c:v>592622</c:v>
                </c:pt>
                <c:pt idx="80">
                  <c:v>15154751.511</c:v>
                </c:pt>
                <c:pt idx="81">
                  <c:v>15403595.583000001</c:v>
                </c:pt>
                <c:pt idx="82">
                  <c:v>15437045.491</c:v>
                </c:pt>
                <c:pt idx="83">
                  <c:v>15425290.767999999</c:v>
                </c:pt>
                <c:pt idx="84">
                  <c:v>15493358.503</c:v>
                </c:pt>
                <c:pt idx="85">
                  <c:v>15730869.226</c:v>
                </c:pt>
                <c:pt idx="86">
                  <c:v>15746350.166999999</c:v>
                </c:pt>
                <c:pt idx="87">
                  <c:v>16214600.321</c:v>
                </c:pt>
                <c:pt idx="88">
                  <c:v>16486446</c:v>
                </c:pt>
                <c:pt idx="89">
                  <c:v>8732051.4690000005</c:v>
                </c:pt>
                <c:pt idx="90">
                  <c:v>8606857.7809999995</c:v>
                </c:pt>
                <c:pt idx="91">
                  <c:v>8615291.6439999994</c:v>
                </c:pt>
                <c:pt idx="92">
                  <c:v>8874150.352</c:v>
                </c:pt>
                <c:pt idx="93">
                  <c:v>8891569.8039999995</c:v>
                </c:pt>
                <c:pt idx="94">
                  <c:v>8689558.1789999995</c:v>
                </c:pt>
                <c:pt idx="95">
                  <c:v>9061615.2259999998</c:v>
                </c:pt>
                <c:pt idx="96">
                  <c:v>8834976.1610000003</c:v>
                </c:pt>
                <c:pt idx="97">
                  <c:v>9013003</c:v>
                </c:pt>
                <c:pt idx="98">
                  <c:v>1101746.827</c:v>
                </c:pt>
                <c:pt idx="99">
                  <c:v>1147748.098</c:v>
                </c:pt>
                <c:pt idx="100">
                  <c:v>1156737.68899999</c:v>
                </c:pt>
                <c:pt idx="101">
                  <c:v>1164954.3370000001</c:v>
                </c:pt>
                <c:pt idx="102">
                  <c:v>1169849.7549999999</c:v>
                </c:pt>
                <c:pt idx="103">
                  <c:v>1178545.9850000001</c:v>
                </c:pt>
                <c:pt idx="104">
                  <c:v>1185327.6229999999</c:v>
                </c:pt>
                <c:pt idx="105">
                  <c:v>1185619.6740000001</c:v>
                </c:pt>
                <c:pt idx="106">
                  <c:v>1183588</c:v>
                </c:pt>
                <c:pt idx="107">
                  <c:v>1321942.4509999999</c:v>
                </c:pt>
                <c:pt idx="108">
                  <c:v>1351372.2660000001</c:v>
                </c:pt>
                <c:pt idx="109">
                  <c:v>1388942.5220000001</c:v>
                </c:pt>
                <c:pt idx="110">
                  <c:v>1374057.9979999999</c:v>
                </c:pt>
                <c:pt idx="111">
                  <c:v>1482130.4450000001</c:v>
                </c:pt>
                <c:pt idx="112">
                  <c:v>1426697.2790000001</c:v>
                </c:pt>
                <c:pt idx="113">
                  <c:v>1469298.25299999</c:v>
                </c:pt>
                <c:pt idx="114">
                  <c:v>1331874.6100000001</c:v>
                </c:pt>
                <c:pt idx="115">
                  <c:v>1341857</c:v>
                </c:pt>
                <c:pt idx="116">
                  <c:v>11323887.040999999</c:v>
                </c:pt>
                <c:pt idx="117">
                  <c:v>11310436.771</c:v>
                </c:pt>
                <c:pt idx="118">
                  <c:v>11150233.557</c:v>
                </c:pt>
                <c:pt idx="119">
                  <c:v>11229183.033</c:v>
                </c:pt>
                <c:pt idx="120">
                  <c:v>11145839.058</c:v>
                </c:pt>
                <c:pt idx="121">
                  <c:v>11136105.044</c:v>
                </c:pt>
                <c:pt idx="122">
                  <c:v>11442363.369999999</c:v>
                </c:pt>
                <c:pt idx="123">
                  <c:v>11069105.147</c:v>
                </c:pt>
                <c:pt idx="124">
                  <c:v>11159510</c:v>
                </c:pt>
                <c:pt idx="125">
                  <c:v>5591421.3760000002</c:v>
                </c:pt>
                <c:pt idx="126">
                  <c:v>5657503.4060000004</c:v>
                </c:pt>
                <c:pt idx="127">
                  <c:v>5458678.6370000001</c:v>
                </c:pt>
                <c:pt idx="128">
                  <c:v>5664927.3449999997</c:v>
                </c:pt>
                <c:pt idx="129">
                  <c:v>5698921.2680000002</c:v>
                </c:pt>
                <c:pt idx="130">
                  <c:v>5505108.7290000003</c:v>
                </c:pt>
                <c:pt idx="131">
                  <c:v>5628629.6090000002</c:v>
                </c:pt>
                <c:pt idx="132">
                  <c:v>5728357.8609999996</c:v>
                </c:pt>
                <c:pt idx="133">
                  <c:v>5762349</c:v>
                </c:pt>
                <c:pt idx="134">
                  <c:v>2535144.2409999999</c:v>
                </c:pt>
                <c:pt idx="135">
                  <c:v>2553166.0150000001</c:v>
                </c:pt>
                <c:pt idx="136">
                  <c:v>2541335.9500000002</c:v>
                </c:pt>
                <c:pt idx="137">
                  <c:v>2694266.0920000002</c:v>
                </c:pt>
                <c:pt idx="138">
                  <c:v>2562945.2779999999</c:v>
                </c:pt>
                <c:pt idx="139">
                  <c:v>2545404.7889999999</c:v>
                </c:pt>
                <c:pt idx="140">
                  <c:v>2795195.3089999999</c:v>
                </c:pt>
                <c:pt idx="141">
                  <c:v>2642515.4019999998</c:v>
                </c:pt>
                <c:pt idx="142">
                  <c:v>2563894</c:v>
                </c:pt>
                <c:pt idx="143">
                  <c:v>2429989.94</c:v>
                </c:pt>
                <c:pt idx="144">
                  <c:v>2383014.7179999999</c:v>
                </c:pt>
                <c:pt idx="145">
                  <c:v>2546491.4119999902</c:v>
                </c:pt>
                <c:pt idx="146">
                  <c:v>2536657.949</c:v>
                </c:pt>
                <c:pt idx="147">
                  <c:v>2481355.14</c:v>
                </c:pt>
                <c:pt idx="148">
                  <c:v>2504174.915</c:v>
                </c:pt>
                <c:pt idx="149">
                  <c:v>2564354.807</c:v>
                </c:pt>
                <c:pt idx="150">
                  <c:v>2503523.534</c:v>
                </c:pt>
                <c:pt idx="151">
                  <c:v>2520611</c:v>
                </c:pt>
                <c:pt idx="152">
                  <c:v>3758508.7450000001</c:v>
                </c:pt>
                <c:pt idx="153">
                  <c:v>3630692.1770000001</c:v>
                </c:pt>
                <c:pt idx="154">
                  <c:v>3722742.304</c:v>
                </c:pt>
                <c:pt idx="155">
                  <c:v>3762930.8050000002</c:v>
                </c:pt>
                <c:pt idx="156">
                  <c:v>3780364.1320000002</c:v>
                </c:pt>
                <c:pt idx="157">
                  <c:v>3770533.67</c:v>
                </c:pt>
                <c:pt idx="158">
                  <c:v>4076032.6340000001</c:v>
                </c:pt>
                <c:pt idx="159">
                  <c:v>3885056.3259999999</c:v>
                </c:pt>
                <c:pt idx="160">
                  <c:v>3807086</c:v>
                </c:pt>
                <c:pt idx="161">
                  <c:v>3899813.9619999998</c:v>
                </c:pt>
                <c:pt idx="162">
                  <c:v>3944107.9440000001</c:v>
                </c:pt>
                <c:pt idx="163">
                  <c:v>3980981.76</c:v>
                </c:pt>
                <c:pt idx="164">
                  <c:v>4132586.8560000001</c:v>
                </c:pt>
                <c:pt idx="165">
                  <c:v>3903951.452</c:v>
                </c:pt>
                <c:pt idx="166">
                  <c:v>4091025.6549999998</c:v>
                </c:pt>
                <c:pt idx="167">
                  <c:v>3956806.8730000001</c:v>
                </c:pt>
                <c:pt idx="168">
                  <c:v>4236746.6459999997</c:v>
                </c:pt>
                <c:pt idx="169">
                  <c:v>3819202</c:v>
                </c:pt>
                <c:pt idx="170">
                  <c:v>1119330.628</c:v>
                </c:pt>
                <c:pt idx="171">
                  <c:v>1124619.4279999901</c:v>
                </c:pt>
                <c:pt idx="172">
                  <c:v>1198426.9140000001</c:v>
                </c:pt>
                <c:pt idx="173">
                  <c:v>1102380.656</c:v>
                </c:pt>
                <c:pt idx="174">
                  <c:v>1109160.132</c:v>
                </c:pt>
                <c:pt idx="175">
                  <c:v>1115751.1370000001</c:v>
                </c:pt>
                <c:pt idx="176">
                  <c:v>1099003.331</c:v>
                </c:pt>
                <c:pt idx="177">
                  <c:v>1114804.8470000001</c:v>
                </c:pt>
                <c:pt idx="178">
                  <c:v>1110716</c:v>
                </c:pt>
                <c:pt idx="179">
                  <c:v>4973429.1560000004</c:v>
                </c:pt>
                <c:pt idx="180">
                  <c:v>5048292.6109999996</c:v>
                </c:pt>
                <c:pt idx="181">
                  <c:v>5052052.97</c:v>
                </c:pt>
                <c:pt idx="182">
                  <c:v>5067083.7609999999</c:v>
                </c:pt>
                <c:pt idx="183">
                  <c:v>5070569.9689999996</c:v>
                </c:pt>
                <c:pt idx="184">
                  <c:v>5151313.7989999996</c:v>
                </c:pt>
                <c:pt idx="185">
                  <c:v>5162483.6950000003</c:v>
                </c:pt>
                <c:pt idx="186">
                  <c:v>5096912.6059999997</c:v>
                </c:pt>
                <c:pt idx="187">
                  <c:v>5084733</c:v>
                </c:pt>
                <c:pt idx="188">
                  <c:v>5640486.4029999999</c:v>
                </c:pt>
                <c:pt idx="189">
                  <c:v>5610565.9620000003</c:v>
                </c:pt>
                <c:pt idx="190">
                  <c:v>5626799.5209999997</c:v>
                </c:pt>
                <c:pt idx="191">
                  <c:v>5646775.034</c:v>
                </c:pt>
                <c:pt idx="192">
                  <c:v>5683188.4809999997</c:v>
                </c:pt>
                <c:pt idx="193">
                  <c:v>5706306.5120000001</c:v>
                </c:pt>
                <c:pt idx="194">
                  <c:v>5703846.1950000003</c:v>
                </c:pt>
                <c:pt idx="195">
                  <c:v>5727121.6679999996</c:v>
                </c:pt>
                <c:pt idx="196">
                  <c:v>5743714</c:v>
                </c:pt>
                <c:pt idx="197">
                  <c:v>8743095.6030000001</c:v>
                </c:pt>
                <c:pt idx="198">
                  <c:v>8713137.557</c:v>
                </c:pt>
                <c:pt idx="199">
                  <c:v>8681952.8019999992</c:v>
                </c:pt>
                <c:pt idx="200">
                  <c:v>8588366.9670000002</c:v>
                </c:pt>
                <c:pt idx="201">
                  <c:v>8584922.5260000005</c:v>
                </c:pt>
                <c:pt idx="202">
                  <c:v>8731892.0659999996</c:v>
                </c:pt>
                <c:pt idx="203">
                  <c:v>8368306.4699999997</c:v>
                </c:pt>
                <c:pt idx="204">
                  <c:v>8506840.6610000003</c:v>
                </c:pt>
                <c:pt idx="205">
                  <c:v>8290710</c:v>
                </c:pt>
                <c:pt idx="206">
                  <c:v>4538579.5650000004</c:v>
                </c:pt>
                <c:pt idx="207">
                  <c:v>4629259.477</c:v>
                </c:pt>
                <c:pt idx="208">
                  <c:v>4525809.7050000001</c:v>
                </c:pt>
                <c:pt idx="209">
                  <c:v>4462834.3969999999</c:v>
                </c:pt>
                <c:pt idx="210">
                  <c:v>4928622.6579999998</c:v>
                </c:pt>
                <c:pt idx="211">
                  <c:v>4662695.2319999998</c:v>
                </c:pt>
                <c:pt idx="212">
                  <c:v>4697211.5659999996</c:v>
                </c:pt>
                <c:pt idx="213">
                  <c:v>4673092.3190000001</c:v>
                </c:pt>
                <c:pt idx="214">
                  <c:v>4540255</c:v>
                </c:pt>
                <c:pt idx="215">
                  <c:v>2614058.7039999999</c:v>
                </c:pt>
                <c:pt idx="216">
                  <c:v>2476941.8119999999</c:v>
                </c:pt>
                <c:pt idx="217">
                  <c:v>2603282.4330000002</c:v>
                </c:pt>
                <c:pt idx="218">
                  <c:v>2605334.0559999999</c:v>
                </c:pt>
                <c:pt idx="219">
                  <c:v>2643946.247</c:v>
                </c:pt>
                <c:pt idx="220">
                  <c:v>2604429.0649999999</c:v>
                </c:pt>
                <c:pt idx="221">
                  <c:v>2525490.7110000001</c:v>
                </c:pt>
                <c:pt idx="222">
                  <c:v>2603000.5440000002</c:v>
                </c:pt>
                <c:pt idx="223">
                  <c:v>2274018</c:v>
                </c:pt>
                <c:pt idx="224">
                  <c:v>5006230.7609999999</c:v>
                </c:pt>
                <c:pt idx="225">
                  <c:v>5065562.0630000001</c:v>
                </c:pt>
                <c:pt idx="226">
                  <c:v>5073465.0999999996</c:v>
                </c:pt>
                <c:pt idx="227">
                  <c:v>5132634.409</c:v>
                </c:pt>
                <c:pt idx="228">
                  <c:v>4965788.068</c:v>
                </c:pt>
                <c:pt idx="229">
                  <c:v>5386946.5839999998</c:v>
                </c:pt>
                <c:pt idx="230">
                  <c:v>5069476.1560000004</c:v>
                </c:pt>
                <c:pt idx="231">
                  <c:v>5239788.62</c:v>
                </c:pt>
                <c:pt idx="232">
                  <c:v>4987969</c:v>
                </c:pt>
                <c:pt idx="233">
                  <c:v>807505.98600000003</c:v>
                </c:pt>
                <c:pt idx="234">
                  <c:v>804009.78</c:v>
                </c:pt>
                <c:pt idx="235">
                  <c:v>849504.49899999995</c:v>
                </c:pt>
                <c:pt idx="236">
                  <c:v>823031.23199999996</c:v>
                </c:pt>
                <c:pt idx="237">
                  <c:v>815792.64299999899</c:v>
                </c:pt>
                <c:pt idx="238">
                  <c:v>776872.576</c:v>
                </c:pt>
                <c:pt idx="239">
                  <c:v>891916.13</c:v>
                </c:pt>
                <c:pt idx="240">
                  <c:v>858945.15399999998</c:v>
                </c:pt>
                <c:pt idx="241">
                  <c:v>770885</c:v>
                </c:pt>
                <c:pt idx="242">
                  <c:v>1511291.92499999</c:v>
                </c:pt>
                <c:pt idx="243">
                  <c:v>1549562.567</c:v>
                </c:pt>
                <c:pt idx="244">
                  <c:v>1574317.111</c:v>
                </c:pt>
                <c:pt idx="245">
                  <c:v>1539115.8030000001</c:v>
                </c:pt>
                <c:pt idx="246">
                  <c:v>1565374.2279999999</c:v>
                </c:pt>
                <c:pt idx="247">
                  <c:v>1595842.54</c:v>
                </c:pt>
                <c:pt idx="248">
                  <c:v>1652199.9609999999</c:v>
                </c:pt>
                <c:pt idx="249">
                  <c:v>1656227.922</c:v>
                </c:pt>
                <c:pt idx="250">
                  <c:v>1569886</c:v>
                </c:pt>
                <c:pt idx="251">
                  <c:v>2250670.7129999902</c:v>
                </c:pt>
                <c:pt idx="252">
                  <c:v>2331275.6850000001</c:v>
                </c:pt>
                <c:pt idx="253">
                  <c:v>2357980.6529999902</c:v>
                </c:pt>
                <c:pt idx="254">
                  <c:v>2360156.753</c:v>
                </c:pt>
                <c:pt idx="255">
                  <c:v>2381034.0389999999</c:v>
                </c:pt>
                <c:pt idx="256">
                  <c:v>2402744.8769999999</c:v>
                </c:pt>
                <c:pt idx="257">
                  <c:v>2497603.4929999998</c:v>
                </c:pt>
                <c:pt idx="258">
                  <c:v>2516701.4509999999</c:v>
                </c:pt>
                <c:pt idx="259">
                  <c:v>2449461</c:v>
                </c:pt>
                <c:pt idx="260">
                  <c:v>1146953.0279999999</c:v>
                </c:pt>
                <c:pt idx="261">
                  <c:v>1143077.3500000001</c:v>
                </c:pt>
                <c:pt idx="262">
                  <c:v>1157381.7860000001</c:v>
                </c:pt>
                <c:pt idx="263">
                  <c:v>1137306.324</c:v>
                </c:pt>
                <c:pt idx="264">
                  <c:v>1132052.095</c:v>
                </c:pt>
                <c:pt idx="265">
                  <c:v>1091816.0660000001</c:v>
                </c:pt>
                <c:pt idx="266">
                  <c:v>1060674.743</c:v>
                </c:pt>
                <c:pt idx="267">
                  <c:v>1116633.7350000001</c:v>
                </c:pt>
                <c:pt idx="268">
                  <c:v>1150082</c:v>
                </c:pt>
                <c:pt idx="269">
                  <c:v>7509541.8839999996</c:v>
                </c:pt>
                <c:pt idx="270">
                  <c:v>7565713.5820000004</c:v>
                </c:pt>
                <c:pt idx="271">
                  <c:v>7576792.1579999998</c:v>
                </c:pt>
                <c:pt idx="272">
                  <c:v>7597577.3549999902</c:v>
                </c:pt>
                <c:pt idx="273">
                  <c:v>7610468.3039999995</c:v>
                </c:pt>
                <c:pt idx="274">
                  <c:v>7630191.6140000001</c:v>
                </c:pt>
                <c:pt idx="275">
                  <c:v>7624172.5719999997</c:v>
                </c:pt>
                <c:pt idx="276">
                  <c:v>7550311.6540000001</c:v>
                </c:pt>
                <c:pt idx="277">
                  <c:v>7747113</c:v>
                </c:pt>
                <c:pt idx="278">
                  <c:v>1717252.7139999999</c:v>
                </c:pt>
                <c:pt idx="279">
                  <c:v>1838941.7609999999</c:v>
                </c:pt>
                <c:pt idx="280">
                  <c:v>1782466.395</c:v>
                </c:pt>
                <c:pt idx="281">
                  <c:v>1750878.38499999</c:v>
                </c:pt>
                <c:pt idx="282">
                  <c:v>1784445.1569999999</c:v>
                </c:pt>
                <c:pt idx="283">
                  <c:v>1726783.8770000001</c:v>
                </c:pt>
                <c:pt idx="284">
                  <c:v>1659061.96899999</c:v>
                </c:pt>
                <c:pt idx="285">
                  <c:v>1752138.5789999999</c:v>
                </c:pt>
                <c:pt idx="286">
                  <c:v>1746752</c:v>
                </c:pt>
                <c:pt idx="287">
                  <c:v>16863053.967999998</c:v>
                </c:pt>
                <c:pt idx="288">
                  <c:v>16684315.416999999</c:v>
                </c:pt>
                <c:pt idx="289">
                  <c:v>16747188.793</c:v>
                </c:pt>
                <c:pt idx="290">
                  <c:v>16680816.460999999</c:v>
                </c:pt>
                <c:pt idx="291">
                  <c:v>16794428.192000002</c:v>
                </c:pt>
                <c:pt idx="292">
                  <c:v>16872403.691</c:v>
                </c:pt>
                <c:pt idx="293">
                  <c:v>16799901.763999999</c:v>
                </c:pt>
                <c:pt idx="294">
                  <c:v>16873067.364999998</c:v>
                </c:pt>
                <c:pt idx="295">
                  <c:v>16888307</c:v>
                </c:pt>
                <c:pt idx="296">
                  <c:v>7873474.4479999999</c:v>
                </c:pt>
                <c:pt idx="297">
                  <c:v>8094455.5159999998</c:v>
                </c:pt>
                <c:pt idx="298">
                  <c:v>8137646.0199999996</c:v>
                </c:pt>
                <c:pt idx="299">
                  <c:v>8243098.4749999996</c:v>
                </c:pt>
                <c:pt idx="300">
                  <c:v>8552927.9849999994</c:v>
                </c:pt>
                <c:pt idx="301">
                  <c:v>8732436.8969999999</c:v>
                </c:pt>
                <c:pt idx="302">
                  <c:v>8250109.3650000002</c:v>
                </c:pt>
                <c:pt idx="303">
                  <c:v>8379468.7450000001</c:v>
                </c:pt>
                <c:pt idx="304">
                  <c:v>8705990</c:v>
                </c:pt>
                <c:pt idx="305">
                  <c:v>533408.48699999996</c:v>
                </c:pt>
                <c:pt idx="306">
                  <c:v>485646.01299999998</c:v>
                </c:pt>
                <c:pt idx="307">
                  <c:v>694451.80599999998</c:v>
                </c:pt>
                <c:pt idx="308">
                  <c:v>602702.9</c:v>
                </c:pt>
                <c:pt idx="309">
                  <c:v>631066.44799999997</c:v>
                </c:pt>
                <c:pt idx="310">
                  <c:v>607134.64500000002</c:v>
                </c:pt>
                <c:pt idx="311">
                  <c:v>627016.56099999999</c:v>
                </c:pt>
                <c:pt idx="312">
                  <c:v>532162.22499999998</c:v>
                </c:pt>
                <c:pt idx="313">
                  <c:v>708645</c:v>
                </c:pt>
                <c:pt idx="314">
                  <c:v>9890511.2540000007</c:v>
                </c:pt>
                <c:pt idx="315">
                  <c:v>9950915.1160000004</c:v>
                </c:pt>
                <c:pt idx="316">
                  <c:v>9906484.1740000006</c:v>
                </c:pt>
                <c:pt idx="317">
                  <c:v>9892316.1860000007</c:v>
                </c:pt>
                <c:pt idx="318">
                  <c:v>9590559.0150000006</c:v>
                </c:pt>
                <c:pt idx="319">
                  <c:v>9957253.1720000003</c:v>
                </c:pt>
                <c:pt idx="320">
                  <c:v>9454228.0429999996</c:v>
                </c:pt>
                <c:pt idx="321">
                  <c:v>9839824.8599999994</c:v>
                </c:pt>
                <c:pt idx="322">
                  <c:v>9511472</c:v>
                </c:pt>
                <c:pt idx="323">
                  <c:v>3126817.0040000002</c:v>
                </c:pt>
                <c:pt idx="324">
                  <c:v>3145983.0490000001</c:v>
                </c:pt>
                <c:pt idx="325">
                  <c:v>3082829.642</c:v>
                </c:pt>
                <c:pt idx="326">
                  <c:v>3253082.6039999998</c:v>
                </c:pt>
                <c:pt idx="327">
                  <c:v>3258004.642</c:v>
                </c:pt>
                <c:pt idx="328">
                  <c:v>3293256.3939999999</c:v>
                </c:pt>
                <c:pt idx="329">
                  <c:v>3545078.0090000001</c:v>
                </c:pt>
                <c:pt idx="330">
                  <c:v>3240907.236</c:v>
                </c:pt>
                <c:pt idx="331">
                  <c:v>3413192</c:v>
                </c:pt>
                <c:pt idx="332">
                  <c:v>3208064.39</c:v>
                </c:pt>
                <c:pt idx="333">
                  <c:v>3255895.912</c:v>
                </c:pt>
                <c:pt idx="334">
                  <c:v>3236118.3790000002</c:v>
                </c:pt>
                <c:pt idx="335">
                  <c:v>3327550.7859999998</c:v>
                </c:pt>
                <c:pt idx="336">
                  <c:v>3336479.5720000002</c:v>
                </c:pt>
                <c:pt idx="337">
                  <c:v>3348021.9279999998</c:v>
                </c:pt>
                <c:pt idx="338">
                  <c:v>3232739.9169999999</c:v>
                </c:pt>
                <c:pt idx="339">
                  <c:v>3385524.997</c:v>
                </c:pt>
                <c:pt idx="340">
                  <c:v>3314444</c:v>
                </c:pt>
                <c:pt idx="341">
                  <c:v>10619881.873</c:v>
                </c:pt>
                <c:pt idx="342">
                  <c:v>10636124.482999999</c:v>
                </c:pt>
                <c:pt idx="343">
                  <c:v>10609877.875</c:v>
                </c:pt>
                <c:pt idx="344">
                  <c:v>10678140.99</c:v>
                </c:pt>
                <c:pt idx="345">
                  <c:v>10677786.370999999</c:v>
                </c:pt>
                <c:pt idx="346">
                  <c:v>10559016.259</c:v>
                </c:pt>
                <c:pt idx="347">
                  <c:v>10579457.039999999</c:v>
                </c:pt>
                <c:pt idx="348">
                  <c:v>10749722.264</c:v>
                </c:pt>
                <c:pt idx="349">
                  <c:v>10664700</c:v>
                </c:pt>
                <c:pt idx="350">
                  <c:v>907960.36800000002</c:v>
                </c:pt>
                <c:pt idx="351">
                  <c:v>905806.72900000005</c:v>
                </c:pt>
                <c:pt idx="352">
                  <c:v>903532.93700000003</c:v>
                </c:pt>
                <c:pt idx="353">
                  <c:v>898907.51399999997</c:v>
                </c:pt>
                <c:pt idx="354">
                  <c:v>897377.826999999</c:v>
                </c:pt>
                <c:pt idx="355">
                  <c:v>892939.52099999902</c:v>
                </c:pt>
                <c:pt idx="356">
                  <c:v>959634.02899999998</c:v>
                </c:pt>
                <c:pt idx="357">
                  <c:v>888786.67899999896</c:v>
                </c:pt>
                <c:pt idx="358">
                  <c:v>885994</c:v>
                </c:pt>
                <c:pt idx="359">
                  <c:v>3810033.8420000002</c:v>
                </c:pt>
                <c:pt idx="360">
                  <c:v>4177094.2370000002</c:v>
                </c:pt>
                <c:pt idx="361">
                  <c:v>3880041.4079999998</c:v>
                </c:pt>
                <c:pt idx="362">
                  <c:v>3993140.11</c:v>
                </c:pt>
                <c:pt idx="363">
                  <c:v>3984125.483</c:v>
                </c:pt>
                <c:pt idx="364">
                  <c:v>4028025.9539999999</c:v>
                </c:pt>
                <c:pt idx="365">
                  <c:v>3926476.7889999999</c:v>
                </c:pt>
                <c:pt idx="366">
                  <c:v>4138667.0950000002</c:v>
                </c:pt>
                <c:pt idx="367">
                  <c:v>4041857</c:v>
                </c:pt>
                <c:pt idx="368">
                  <c:v>674255.81299999997</c:v>
                </c:pt>
                <c:pt idx="369">
                  <c:v>637016.44799999997</c:v>
                </c:pt>
                <c:pt idx="370">
                  <c:v>728504.08299999998</c:v>
                </c:pt>
                <c:pt idx="371">
                  <c:v>680070.87600000005</c:v>
                </c:pt>
                <c:pt idx="372">
                  <c:v>657098.84900000005</c:v>
                </c:pt>
                <c:pt idx="373">
                  <c:v>604791.277</c:v>
                </c:pt>
                <c:pt idx="374">
                  <c:v>555207.06900000002</c:v>
                </c:pt>
                <c:pt idx="375">
                  <c:v>650984.90099999995</c:v>
                </c:pt>
                <c:pt idx="376">
                  <c:v>751124</c:v>
                </c:pt>
                <c:pt idx="377">
                  <c:v>5273050.5480000004</c:v>
                </c:pt>
                <c:pt idx="378">
                  <c:v>5448611.767</c:v>
                </c:pt>
                <c:pt idx="379">
                  <c:v>5499893.1050000004</c:v>
                </c:pt>
                <c:pt idx="380">
                  <c:v>5478639.1390000004</c:v>
                </c:pt>
                <c:pt idx="381">
                  <c:v>5333662.03</c:v>
                </c:pt>
                <c:pt idx="382">
                  <c:v>5573486.1720000003</c:v>
                </c:pt>
                <c:pt idx="383">
                  <c:v>5523778.5659999996</c:v>
                </c:pt>
                <c:pt idx="384">
                  <c:v>5401991.0219999999</c:v>
                </c:pt>
                <c:pt idx="385">
                  <c:v>5830419</c:v>
                </c:pt>
                <c:pt idx="386">
                  <c:v>21345772.894000001</c:v>
                </c:pt>
                <c:pt idx="387">
                  <c:v>21722938.109999999</c:v>
                </c:pt>
                <c:pt idx="388">
                  <c:v>22261168.467</c:v>
                </c:pt>
                <c:pt idx="389">
                  <c:v>22418314.243999999</c:v>
                </c:pt>
                <c:pt idx="390">
                  <c:v>22931124.396000002</c:v>
                </c:pt>
                <c:pt idx="391">
                  <c:v>23179467.25</c:v>
                </c:pt>
                <c:pt idx="392">
                  <c:v>23152747.535</c:v>
                </c:pt>
                <c:pt idx="393">
                  <c:v>23495362.302999999</c:v>
                </c:pt>
                <c:pt idx="394">
                  <c:v>23960848</c:v>
                </c:pt>
                <c:pt idx="395">
                  <c:v>2402324.6940000001</c:v>
                </c:pt>
                <c:pt idx="396">
                  <c:v>2429353.3480000002</c:v>
                </c:pt>
                <c:pt idx="397">
                  <c:v>2431211.0449999999</c:v>
                </c:pt>
                <c:pt idx="398">
                  <c:v>2518152.1579999998</c:v>
                </c:pt>
                <c:pt idx="399">
                  <c:v>2651498.8480000002</c:v>
                </c:pt>
                <c:pt idx="400">
                  <c:v>2557761.085</c:v>
                </c:pt>
                <c:pt idx="401">
                  <c:v>2619158.841</c:v>
                </c:pt>
                <c:pt idx="402">
                  <c:v>2623298.6120000002</c:v>
                </c:pt>
                <c:pt idx="403">
                  <c:v>2675986</c:v>
                </c:pt>
                <c:pt idx="404">
                  <c:v>535329.5</c:v>
                </c:pt>
                <c:pt idx="405">
                  <c:v>493227.74300000002</c:v>
                </c:pt>
                <c:pt idx="406">
                  <c:v>591007.071</c:v>
                </c:pt>
                <c:pt idx="407">
                  <c:v>552876.91899999999</c:v>
                </c:pt>
                <c:pt idx="408">
                  <c:v>475083.99800000002</c:v>
                </c:pt>
                <c:pt idx="409">
                  <c:v>430813.02399999998</c:v>
                </c:pt>
                <c:pt idx="410">
                  <c:v>625689.88800000004</c:v>
                </c:pt>
                <c:pt idx="411">
                  <c:v>460502.19199999998</c:v>
                </c:pt>
                <c:pt idx="412">
                  <c:v>541891</c:v>
                </c:pt>
                <c:pt idx="413">
                  <c:v>6785522.5549999997</c:v>
                </c:pt>
                <c:pt idx="414">
                  <c:v>6682056.1689999998</c:v>
                </c:pt>
                <c:pt idx="415">
                  <c:v>6963120.5480000004</c:v>
                </c:pt>
                <c:pt idx="416">
                  <c:v>6695031.3150000004</c:v>
                </c:pt>
                <c:pt idx="417">
                  <c:v>7061020.61499999</c:v>
                </c:pt>
                <c:pt idx="418">
                  <c:v>7060661.6969999997</c:v>
                </c:pt>
                <c:pt idx="419">
                  <c:v>7218650.0130000003</c:v>
                </c:pt>
                <c:pt idx="420">
                  <c:v>7068644.6059999997</c:v>
                </c:pt>
                <c:pt idx="421">
                  <c:v>7073007</c:v>
                </c:pt>
                <c:pt idx="422">
                  <c:v>5704893.8650000002</c:v>
                </c:pt>
                <c:pt idx="423">
                  <c:v>5763370.0140000004</c:v>
                </c:pt>
                <c:pt idx="424">
                  <c:v>5823987.8039999995</c:v>
                </c:pt>
                <c:pt idx="425">
                  <c:v>5924506.1109999996</c:v>
                </c:pt>
                <c:pt idx="426">
                  <c:v>5915486.4440000001</c:v>
                </c:pt>
                <c:pt idx="427">
                  <c:v>6020208.5029999996</c:v>
                </c:pt>
                <c:pt idx="428">
                  <c:v>6008148.0289999899</c:v>
                </c:pt>
                <c:pt idx="429">
                  <c:v>6028936.4989999998</c:v>
                </c:pt>
                <c:pt idx="430">
                  <c:v>6081809</c:v>
                </c:pt>
                <c:pt idx="431">
                  <c:v>1496621.3</c:v>
                </c:pt>
                <c:pt idx="432">
                  <c:v>1584657.35</c:v>
                </c:pt>
                <c:pt idx="433">
                  <c:v>1523606.7690000001</c:v>
                </c:pt>
                <c:pt idx="434">
                  <c:v>1500173.53</c:v>
                </c:pt>
                <c:pt idx="435">
                  <c:v>1561995.48</c:v>
                </c:pt>
                <c:pt idx="436">
                  <c:v>1596866.8770000001</c:v>
                </c:pt>
                <c:pt idx="437">
                  <c:v>1391975.5090000001</c:v>
                </c:pt>
                <c:pt idx="438">
                  <c:v>1504637.09</c:v>
                </c:pt>
                <c:pt idx="439">
                  <c:v>1454121</c:v>
                </c:pt>
                <c:pt idx="440">
                  <c:v>4861613.8310000002</c:v>
                </c:pt>
                <c:pt idx="441">
                  <c:v>4854590.2450000001</c:v>
                </c:pt>
                <c:pt idx="442">
                  <c:v>4716640.6969999997</c:v>
                </c:pt>
                <c:pt idx="443">
                  <c:v>5148452.5939999996</c:v>
                </c:pt>
                <c:pt idx="444">
                  <c:v>4820598.8480000002</c:v>
                </c:pt>
                <c:pt idx="445">
                  <c:v>4866136.216</c:v>
                </c:pt>
                <c:pt idx="446">
                  <c:v>4865067.37</c:v>
                </c:pt>
                <c:pt idx="447">
                  <c:v>4838087.54</c:v>
                </c:pt>
                <c:pt idx="448">
                  <c:v>4923416</c:v>
                </c:pt>
                <c:pt idx="449">
                  <c:v>457102.01400000002</c:v>
                </c:pt>
                <c:pt idx="450">
                  <c:v>525307.34</c:v>
                </c:pt>
                <c:pt idx="451">
                  <c:v>557582.93900000001</c:v>
                </c:pt>
                <c:pt idx="452">
                  <c:v>623814.67299999995</c:v>
                </c:pt>
                <c:pt idx="453">
                  <c:v>493838.82900000003</c:v>
                </c:pt>
                <c:pt idx="454">
                  <c:v>564826.75300000003</c:v>
                </c:pt>
                <c:pt idx="455">
                  <c:v>524004.95199999999</c:v>
                </c:pt>
                <c:pt idx="456">
                  <c:v>459544.61900000001</c:v>
                </c:pt>
                <c:pt idx="457">
                  <c:v>535415</c:v>
                </c:pt>
              </c:numCache>
            </c:numRef>
          </c:xVal>
          <c:yVal>
            <c:numRef>
              <c:f>Chart3_Data!$B$2:$B$459</c:f>
              <c:numCache>
                <c:formatCode>#,##0.0</c:formatCode>
                <c:ptCount val="458"/>
                <c:pt idx="0">
                  <c:v>464.5</c:v>
                </c:pt>
                <c:pt idx="1">
                  <c:v>464.5</c:v>
                </c:pt>
                <c:pt idx="2">
                  <c:v>443</c:v>
                </c:pt>
                <c:pt idx="3">
                  <c:v>448</c:v>
                </c:pt>
                <c:pt idx="4">
                  <c:v>499</c:v>
                </c:pt>
                <c:pt idx="5">
                  <c:v>510</c:v>
                </c:pt>
                <c:pt idx="6">
                  <c:v>498</c:v>
                </c:pt>
                <c:pt idx="7">
                  <c:v>509.5</c:v>
                </c:pt>
                <c:pt idx="8">
                  <c:v>500</c:v>
                </c:pt>
                <c:pt idx="9">
                  <c:v>432</c:v>
                </c:pt>
                <c:pt idx="10">
                  <c:v>432</c:v>
                </c:pt>
                <c:pt idx="11">
                  <c:v>432</c:v>
                </c:pt>
                <c:pt idx="12">
                  <c:v>432</c:v>
                </c:pt>
                <c:pt idx="13">
                  <c:v>432</c:v>
                </c:pt>
                <c:pt idx="14">
                  <c:v>432</c:v>
                </c:pt>
                <c:pt idx="15">
                  <c:v>432</c:v>
                </c:pt>
                <c:pt idx="16">
                  <c:v>432</c:v>
                </c:pt>
                <c:pt idx="17">
                  <c:v>432</c:v>
                </c:pt>
                <c:pt idx="18">
                  <c:v>478.5</c:v>
                </c:pt>
                <c:pt idx="19">
                  <c:v>449</c:v>
                </c:pt>
                <c:pt idx="20">
                  <c:v>437.5</c:v>
                </c:pt>
                <c:pt idx="21">
                  <c:v>438.5</c:v>
                </c:pt>
                <c:pt idx="22">
                  <c:v>437.5</c:v>
                </c:pt>
                <c:pt idx="23">
                  <c:v>472</c:v>
                </c:pt>
                <c:pt idx="24">
                  <c:v>439.5</c:v>
                </c:pt>
                <c:pt idx="25">
                  <c:v>502.5</c:v>
                </c:pt>
                <c:pt idx="26">
                  <c:v>453</c:v>
                </c:pt>
                <c:pt idx="27">
                  <c:v>437.5</c:v>
                </c:pt>
                <c:pt idx="28">
                  <c:v>432</c:v>
                </c:pt>
                <c:pt idx="29">
                  <c:v>438.5</c:v>
                </c:pt>
                <c:pt idx="30">
                  <c:v>437.5</c:v>
                </c:pt>
                <c:pt idx="31">
                  <c:v>432</c:v>
                </c:pt>
                <c:pt idx="32">
                  <c:v>461.5</c:v>
                </c:pt>
                <c:pt idx="33">
                  <c:v>432</c:v>
                </c:pt>
                <c:pt idx="34">
                  <c:v>432</c:v>
                </c:pt>
                <c:pt idx="35">
                  <c:v>438.5</c:v>
                </c:pt>
                <c:pt idx="36">
                  <c:v>1311.5</c:v>
                </c:pt>
                <c:pt idx="37">
                  <c:v>836</c:v>
                </c:pt>
                <c:pt idx="38">
                  <c:v>1018.5</c:v>
                </c:pt>
                <c:pt idx="39">
                  <c:v>900.5</c:v>
                </c:pt>
                <c:pt idx="40">
                  <c:v>1021.5</c:v>
                </c:pt>
                <c:pt idx="41">
                  <c:v>1267.5</c:v>
                </c:pt>
                <c:pt idx="42">
                  <c:v>944</c:v>
                </c:pt>
                <c:pt idx="43">
                  <c:v>1052.5</c:v>
                </c:pt>
                <c:pt idx="44">
                  <c:v>1011</c:v>
                </c:pt>
                <c:pt idx="45">
                  <c:v>457.5</c:v>
                </c:pt>
                <c:pt idx="46">
                  <c:v>432</c:v>
                </c:pt>
                <c:pt idx="47">
                  <c:v>432</c:v>
                </c:pt>
                <c:pt idx="48">
                  <c:v>432</c:v>
                </c:pt>
                <c:pt idx="49">
                  <c:v>445</c:v>
                </c:pt>
                <c:pt idx="50">
                  <c:v>456</c:v>
                </c:pt>
                <c:pt idx="51">
                  <c:v>432</c:v>
                </c:pt>
                <c:pt idx="52">
                  <c:v>439.5</c:v>
                </c:pt>
                <c:pt idx="53">
                  <c:v>456</c:v>
                </c:pt>
                <c:pt idx="54">
                  <c:v>432</c:v>
                </c:pt>
                <c:pt idx="55">
                  <c:v>432</c:v>
                </c:pt>
                <c:pt idx="56">
                  <c:v>432</c:v>
                </c:pt>
                <c:pt idx="57">
                  <c:v>432</c:v>
                </c:pt>
                <c:pt idx="58">
                  <c:v>432</c:v>
                </c:pt>
                <c:pt idx="59">
                  <c:v>432</c:v>
                </c:pt>
                <c:pt idx="60">
                  <c:v>432</c:v>
                </c:pt>
                <c:pt idx="61">
                  <c:v>432</c:v>
                </c:pt>
                <c:pt idx="62">
                  <c:v>437.5</c:v>
                </c:pt>
                <c:pt idx="63">
                  <c:v>432</c:v>
                </c:pt>
                <c:pt idx="64">
                  <c:v>432</c:v>
                </c:pt>
                <c:pt idx="65">
                  <c:v>432</c:v>
                </c:pt>
                <c:pt idx="66">
                  <c:v>432</c:v>
                </c:pt>
                <c:pt idx="67">
                  <c:v>432</c:v>
                </c:pt>
                <c:pt idx="68">
                  <c:v>432</c:v>
                </c:pt>
                <c:pt idx="69">
                  <c:v>432</c:v>
                </c:pt>
                <c:pt idx="70">
                  <c:v>432</c:v>
                </c:pt>
                <c:pt idx="71">
                  <c:v>432</c:v>
                </c:pt>
                <c:pt idx="72">
                  <c:v>432</c:v>
                </c:pt>
                <c:pt idx="73">
                  <c:v>432</c:v>
                </c:pt>
                <c:pt idx="74">
                  <c:v>432</c:v>
                </c:pt>
                <c:pt idx="75">
                  <c:v>432</c:v>
                </c:pt>
                <c:pt idx="76">
                  <c:v>432</c:v>
                </c:pt>
                <c:pt idx="77">
                  <c:v>432</c:v>
                </c:pt>
                <c:pt idx="78">
                  <c:v>432</c:v>
                </c:pt>
                <c:pt idx="79">
                  <c:v>432</c:v>
                </c:pt>
                <c:pt idx="80">
                  <c:v>717</c:v>
                </c:pt>
                <c:pt idx="81">
                  <c:v>573.5</c:v>
                </c:pt>
                <c:pt idx="82">
                  <c:v>628</c:v>
                </c:pt>
                <c:pt idx="83">
                  <c:v>584.5</c:v>
                </c:pt>
                <c:pt idx="84">
                  <c:v>743.5</c:v>
                </c:pt>
                <c:pt idx="85">
                  <c:v>784</c:v>
                </c:pt>
                <c:pt idx="86">
                  <c:v>635.5</c:v>
                </c:pt>
                <c:pt idx="87">
                  <c:v>749.5</c:v>
                </c:pt>
                <c:pt idx="88">
                  <c:v>711</c:v>
                </c:pt>
                <c:pt idx="89">
                  <c:v>530.5</c:v>
                </c:pt>
                <c:pt idx="90">
                  <c:v>504.5</c:v>
                </c:pt>
                <c:pt idx="91">
                  <c:v>529</c:v>
                </c:pt>
                <c:pt idx="92">
                  <c:v>518</c:v>
                </c:pt>
                <c:pt idx="93">
                  <c:v>559</c:v>
                </c:pt>
                <c:pt idx="94">
                  <c:v>617</c:v>
                </c:pt>
                <c:pt idx="95">
                  <c:v>551</c:v>
                </c:pt>
                <c:pt idx="96">
                  <c:v>584.5</c:v>
                </c:pt>
                <c:pt idx="97">
                  <c:v>547</c:v>
                </c:pt>
                <c:pt idx="98">
                  <c:v>432</c:v>
                </c:pt>
                <c:pt idx="99">
                  <c:v>432</c:v>
                </c:pt>
                <c:pt idx="100">
                  <c:v>864</c:v>
                </c:pt>
                <c:pt idx="101">
                  <c:v>432</c:v>
                </c:pt>
                <c:pt idx="102">
                  <c:v>432</c:v>
                </c:pt>
                <c:pt idx="103">
                  <c:v>432</c:v>
                </c:pt>
                <c:pt idx="104">
                  <c:v>432</c:v>
                </c:pt>
                <c:pt idx="105">
                  <c:v>432</c:v>
                </c:pt>
                <c:pt idx="106">
                  <c:v>432</c:v>
                </c:pt>
                <c:pt idx="107">
                  <c:v>432</c:v>
                </c:pt>
                <c:pt idx="108">
                  <c:v>432</c:v>
                </c:pt>
                <c:pt idx="109">
                  <c:v>432</c:v>
                </c:pt>
                <c:pt idx="110">
                  <c:v>432</c:v>
                </c:pt>
                <c:pt idx="111">
                  <c:v>432</c:v>
                </c:pt>
                <c:pt idx="112">
                  <c:v>432</c:v>
                </c:pt>
                <c:pt idx="113">
                  <c:v>432</c:v>
                </c:pt>
                <c:pt idx="114">
                  <c:v>432</c:v>
                </c:pt>
                <c:pt idx="115">
                  <c:v>432</c:v>
                </c:pt>
                <c:pt idx="116">
                  <c:v>608.5</c:v>
                </c:pt>
                <c:pt idx="117">
                  <c:v>541.5</c:v>
                </c:pt>
                <c:pt idx="118">
                  <c:v>602</c:v>
                </c:pt>
                <c:pt idx="119">
                  <c:v>582.5</c:v>
                </c:pt>
                <c:pt idx="120">
                  <c:v>563</c:v>
                </c:pt>
                <c:pt idx="121">
                  <c:v>602.5</c:v>
                </c:pt>
                <c:pt idx="122">
                  <c:v>587.5</c:v>
                </c:pt>
                <c:pt idx="123">
                  <c:v>615.5</c:v>
                </c:pt>
                <c:pt idx="124">
                  <c:v>598.5</c:v>
                </c:pt>
                <c:pt idx="125">
                  <c:v>459</c:v>
                </c:pt>
                <c:pt idx="126">
                  <c:v>462.5</c:v>
                </c:pt>
                <c:pt idx="127">
                  <c:v>439.5</c:v>
                </c:pt>
                <c:pt idx="128">
                  <c:v>432</c:v>
                </c:pt>
                <c:pt idx="129">
                  <c:v>469</c:v>
                </c:pt>
                <c:pt idx="130">
                  <c:v>486.5</c:v>
                </c:pt>
                <c:pt idx="131">
                  <c:v>440.5</c:v>
                </c:pt>
                <c:pt idx="132">
                  <c:v>472.5</c:v>
                </c:pt>
                <c:pt idx="133">
                  <c:v>466.5</c:v>
                </c:pt>
                <c:pt idx="134">
                  <c:v>445</c:v>
                </c:pt>
                <c:pt idx="135">
                  <c:v>432</c:v>
                </c:pt>
                <c:pt idx="136">
                  <c:v>432</c:v>
                </c:pt>
                <c:pt idx="137">
                  <c:v>432</c:v>
                </c:pt>
                <c:pt idx="138">
                  <c:v>432</c:v>
                </c:pt>
                <c:pt idx="139">
                  <c:v>432</c:v>
                </c:pt>
                <c:pt idx="140">
                  <c:v>438.5</c:v>
                </c:pt>
                <c:pt idx="141">
                  <c:v>432</c:v>
                </c:pt>
                <c:pt idx="142">
                  <c:v>432</c:v>
                </c:pt>
                <c:pt idx="143">
                  <c:v>432</c:v>
                </c:pt>
                <c:pt idx="144">
                  <c:v>432</c:v>
                </c:pt>
                <c:pt idx="145">
                  <c:v>432</c:v>
                </c:pt>
                <c:pt idx="146">
                  <c:v>432</c:v>
                </c:pt>
                <c:pt idx="147">
                  <c:v>438.5</c:v>
                </c:pt>
                <c:pt idx="148">
                  <c:v>439.5</c:v>
                </c:pt>
                <c:pt idx="149">
                  <c:v>432</c:v>
                </c:pt>
                <c:pt idx="150">
                  <c:v>432</c:v>
                </c:pt>
                <c:pt idx="151">
                  <c:v>432</c:v>
                </c:pt>
                <c:pt idx="152">
                  <c:v>452.5</c:v>
                </c:pt>
                <c:pt idx="153">
                  <c:v>438.5</c:v>
                </c:pt>
                <c:pt idx="154">
                  <c:v>466.5</c:v>
                </c:pt>
                <c:pt idx="155">
                  <c:v>446</c:v>
                </c:pt>
                <c:pt idx="156">
                  <c:v>444</c:v>
                </c:pt>
                <c:pt idx="157">
                  <c:v>484.5</c:v>
                </c:pt>
                <c:pt idx="158">
                  <c:v>465.5</c:v>
                </c:pt>
                <c:pt idx="159">
                  <c:v>467</c:v>
                </c:pt>
                <c:pt idx="160">
                  <c:v>457.5</c:v>
                </c:pt>
                <c:pt idx="161">
                  <c:v>432</c:v>
                </c:pt>
                <c:pt idx="162">
                  <c:v>438.5</c:v>
                </c:pt>
                <c:pt idx="163">
                  <c:v>456.5</c:v>
                </c:pt>
                <c:pt idx="164">
                  <c:v>439.5</c:v>
                </c:pt>
                <c:pt idx="165">
                  <c:v>494.5</c:v>
                </c:pt>
                <c:pt idx="166">
                  <c:v>511</c:v>
                </c:pt>
                <c:pt idx="167">
                  <c:v>449</c:v>
                </c:pt>
                <c:pt idx="168">
                  <c:v>449.5</c:v>
                </c:pt>
                <c:pt idx="169">
                  <c:v>467.5</c:v>
                </c:pt>
                <c:pt idx="170">
                  <c:v>432</c:v>
                </c:pt>
                <c:pt idx="171">
                  <c:v>432</c:v>
                </c:pt>
                <c:pt idx="172">
                  <c:v>432</c:v>
                </c:pt>
                <c:pt idx="173">
                  <c:v>432</c:v>
                </c:pt>
                <c:pt idx="174">
                  <c:v>432</c:v>
                </c:pt>
                <c:pt idx="175">
                  <c:v>432</c:v>
                </c:pt>
                <c:pt idx="176">
                  <c:v>432</c:v>
                </c:pt>
                <c:pt idx="177">
                  <c:v>432</c:v>
                </c:pt>
                <c:pt idx="178">
                  <c:v>432</c:v>
                </c:pt>
                <c:pt idx="179">
                  <c:v>450.5</c:v>
                </c:pt>
                <c:pt idx="180">
                  <c:v>440.5</c:v>
                </c:pt>
                <c:pt idx="181">
                  <c:v>448.5</c:v>
                </c:pt>
                <c:pt idx="182">
                  <c:v>438.5</c:v>
                </c:pt>
                <c:pt idx="183">
                  <c:v>457</c:v>
                </c:pt>
                <c:pt idx="184">
                  <c:v>467.5</c:v>
                </c:pt>
                <c:pt idx="185">
                  <c:v>448</c:v>
                </c:pt>
                <c:pt idx="186">
                  <c:v>456.5</c:v>
                </c:pt>
                <c:pt idx="187">
                  <c:v>442.5</c:v>
                </c:pt>
                <c:pt idx="188">
                  <c:v>440.5</c:v>
                </c:pt>
                <c:pt idx="189">
                  <c:v>439.5</c:v>
                </c:pt>
                <c:pt idx="190">
                  <c:v>440.5</c:v>
                </c:pt>
                <c:pt idx="191">
                  <c:v>432</c:v>
                </c:pt>
                <c:pt idx="192">
                  <c:v>457.5</c:v>
                </c:pt>
                <c:pt idx="193">
                  <c:v>479</c:v>
                </c:pt>
                <c:pt idx="194">
                  <c:v>458.5</c:v>
                </c:pt>
                <c:pt idx="195">
                  <c:v>445</c:v>
                </c:pt>
                <c:pt idx="196">
                  <c:v>456.5</c:v>
                </c:pt>
                <c:pt idx="197">
                  <c:v>545</c:v>
                </c:pt>
                <c:pt idx="198">
                  <c:v>471.5</c:v>
                </c:pt>
                <c:pt idx="199">
                  <c:v>524.5</c:v>
                </c:pt>
                <c:pt idx="200">
                  <c:v>493</c:v>
                </c:pt>
                <c:pt idx="201">
                  <c:v>559</c:v>
                </c:pt>
                <c:pt idx="202">
                  <c:v>555.5</c:v>
                </c:pt>
                <c:pt idx="203">
                  <c:v>547</c:v>
                </c:pt>
                <c:pt idx="204">
                  <c:v>542.5</c:v>
                </c:pt>
                <c:pt idx="205">
                  <c:v>559</c:v>
                </c:pt>
                <c:pt idx="206">
                  <c:v>438.5</c:v>
                </c:pt>
                <c:pt idx="207">
                  <c:v>432</c:v>
                </c:pt>
                <c:pt idx="208">
                  <c:v>432</c:v>
                </c:pt>
                <c:pt idx="209">
                  <c:v>432</c:v>
                </c:pt>
                <c:pt idx="210">
                  <c:v>432</c:v>
                </c:pt>
                <c:pt idx="211">
                  <c:v>443</c:v>
                </c:pt>
                <c:pt idx="212">
                  <c:v>432</c:v>
                </c:pt>
                <c:pt idx="213">
                  <c:v>432</c:v>
                </c:pt>
                <c:pt idx="214">
                  <c:v>432</c:v>
                </c:pt>
                <c:pt idx="215">
                  <c:v>432</c:v>
                </c:pt>
                <c:pt idx="216">
                  <c:v>437.5</c:v>
                </c:pt>
                <c:pt idx="217">
                  <c:v>432</c:v>
                </c:pt>
                <c:pt idx="218">
                  <c:v>432</c:v>
                </c:pt>
                <c:pt idx="219">
                  <c:v>456.5</c:v>
                </c:pt>
                <c:pt idx="220">
                  <c:v>492</c:v>
                </c:pt>
                <c:pt idx="221">
                  <c:v>451.5</c:v>
                </c:pt>
                <c:pt idx="222">
                  <c:v>463.5</c:v>
                </c:pt>
                <c:pt idx="223">
                  <c:v>468</c:v>
                </c:pt>
                <c:pt idx="224">
                  <c:v>475</c:v>
                </c:pt>
                <c:pt idx="225">
                  <c:v>445</c:v>
                </c:pt>
                <c:pt idx="226">
                  <c:v>457.5</c:v>
                </c:pt>
                <c:pt idx="227">
                  <c:v>474</c:v>
                </c:pt>
                <c:pt idx="228">
                  <c:v>464.5</c:v>
                </c:pt>
                <c:pt idx="229">
                  <c:v>492</c:v>
                </c:pt>
                <c:pt idx="230">
                  <c:v>454.5</c:v>
                </c:pt>
                <c:pt idx="231">
                  <c:v>480.5</c:v>
                </c:pt>
                <c:pt idx="232">
                  <c:v>443</c:v>
                </c:pt>
                <c:pt idx="233">
                  <c:v>432</c:v>
                </c:pt>
                <c:pt idx="234">
                  <c:v>432</c:v>
                </c:pt>
                <c:pt idx="235">
                  <c:v>432</c:v>
                </c:pt>
                <c:pt idx="236">
                  <c:v>432</c:v>
                </c:pt>
                <c:pt idx="237">
                  <c:v>432</c:v>
                </c:pt>
                <c:pt idx="238">
                  <c:v>432</c:v>
                </c:pt>
                <c:pt idx="239">
                  <c:v>432</c:v>
                </c:pt>
                <c:pt idx="240">
                  <c:v>432</c:v>
                </c:pt>
                <c:pt idx="241">
                  <c:v>432</c:v>
                </c:pt>
                <c:pt idx="242">
                  <c:v>432</c:v>
                </c:pt>
                <c:pt idx="243">
                  <c:v>432</c:v>
                </c:pt>
                <c:pt idx="244">
                  <c:v>432</c:v>
                </c:pt>
                <c:pt idx="245">
                  <c:v>432</c:v>
                </c:pt>
                <c:pt idx="246">
                  <c:v>432</c:v>
                </c:pt>
                <c:pt idx="247">
                  <c:v>432</c:v>
                </c:pt>
                <c:pt idx="248">
                  <c:v>432</c:v>
                </c:pt>
                <c:pt idx="249">
                  <c:v>432</c:v>
                </c:pt>
                <c:pt idx="250">
                  <c:v>432</c:v>
                </c:pt>
                <c:pt idx="251">
                  <c:v>437.5</c:v>
                </c:pt>
                <c:pt idx="252">
                  <c:v>432</c:v>
                </c:pt>
                <c:pt idx="253">
                  <c:v>432</c:v>
                </c:pt>
                <c:pt idx="254">
                  <c:v>432</c:v>
                </c:pt>
                <c:pt idx="255">
                  <c:v>446</c:v>
                </c:pt>
                <c:pt idx="256">
                  <c:v>450.5</c:v>
                </c:pt>
                <c:pt idx="257">
                  <c:v>450.5</c:v>
                </c:pt>
                <c:pt idx="258">
                  <c:v>461</c:v>
                </c:pt>
                <c:pt idx="259">
                  <c:v>463</c:v>
                </c:pt>
                <c:pt idx="260">
                  <c:v>432</c:v>
                </c:pt>
                <c:pt idx="261">
                  <c:v>432</c:v>
                </c:pt>
                <c:pt idx="262">
                  <c:v>432</c:v>
                </c:pt>
                <c:pt idx="263">
                  <c:v>432</c:v>
                </c:pt>
                <c:pt idx="264">
                  <c:v>432</c:v>
                </c:pt>
                <c:pt idx="265">
                  <c:v>432</c:v>
                </c:pt>
                <c:pt idx="266">
                  <c:v>432</c:v>
                </c:pt>
                <c:pt idx="267">
                  <c:v>432</c:v>
                </c:pt>
                <c:pt idx="268">
                  <c:v>432</c:v>
                </c:pt>
                <c:pt idx="269">
                  <c:v>474</c:v>
                </c:pt>
                <c:pt idx="270">
                  <c:v>449.5</c:v>
                </c:pt>
                <c:pt idx="271">
                  <c:v>467.5</c:v>
                </c:pt>
                <c:pt idx="272">
                  <c:v>446</c:v>
                </c:pt>
                <c:pt idx="273">
                  <c:v>472.5</c:v>
                </c:pt>
                <c:pt idx="274">
                  <c:v>457</c:v>
                </c:pt>
                <c:pt idx="275">
                  <c:v>467</c:v>
                </c:pt>
                <c:pt idx="276">
                  <c:v>472.5</c:v>
                </c:pt>
                <c:pt idx="277">
                  <c:v>474</c:v>
                </c:pt>
                <c:pt idx="278">
                  <c:v>432</c:v>
                </c:pt>
                <c:pt idx="279">
                  <c:v>432</c:v>
                </c:pt>
                <c:pt idx="280">
                  <c:v>432</c:v>
                </c:pt>
                <c:pt idx="281">
                  <c:v>432</c:v>
                </c:pt>
                <c:pt idx="282">
                  <c:v>432</c:v>
                </c:pt>
                <c:pt idx="283">
                  <c:v>432</c:v>
                </c:pt>
                <c:pt idx="284">
                  <c:v>432</c:v>
                </c:pt>
                <c:pt idx="285">
                  <c:v>432</c:v>
                </c:pt>
                <c:pt idx="286">
                  <c:v>432</c:v>
                </c:pt>
                <c:pt idx="287">
                  <c:v>826</c:v>
                </c:pt>
                <c:pt idx="288">
                  <c:v>790</c:v>
                </c:pt>
                <c:pt idx="289">
                  <c:v>819.5</c:v>
                </c:pt>
                <c:pt idx="290">
                  <c:v>760.5</c:v>
                </c:pt>
                <c:pt idx="291">
                  <c:v>822.5</c:v>
                </c:pt>
                <c:pt idx="292">
                  <c:v>895</c:v>
                </c:pt>
                <c:pt idx="293">
                  <c:v>792.5</c:v>
                </c:pt>
                <c:pt idx="294">
                  <c:v>820</c:v>
                </c:pt>
                <c:pt idx="295">
                  <c:v>779</c:v>
                </c:pt>
                <c:pt idx="296">
                  <c:v>522</c:v>
                </c:pt>
                <c:pt idx="297">
                  <c:v>518.5</c:v>
                </c:pt>
                <c:pt idx="298">
                  <c:v>493</c:v>
                </c:pt>
                <c:pt idx="299">
                  <c:v>563.5</c:v>
                </c:pt>
                <c:pt idx="300">
                  <c:v>576</c:v>
                </c:pt>
                <c:pt idx="301">
                  <c:v>594</c:v>
                </c:pt>
                <c:pt idx="302">
                  <c:v>590.5</c:v>
                </c:pt>
                <c:pt idx="303">
                  <c:v>597.5</c:v>
                </c:pt>
                <c:pt idx="304">
                  <c:v>616.5</c:v>
                </c:pt>
                <c:pt idx="305">
                  <c:v>432</c:v>
                </c:pt>
                <c:pt idx="306">
                  <c:v>432</c:v>
                </c:pt>
                <c:pt idx="307">
                  <c:v>432</c:v>
                </c:pt>
                <c:pt idx="308">
                  <c:v>432</c:v>
                </c:pt>
                <c:pt idx="309">
                  <c:v>432</c:v>
                </c:pt>
                <c:pt idx="310">
                  <c:v>432</c:v>
                </c:pt>
                <c:pt idx="311">
                  <c:v>432</c:v>
                </c:pt>
                <c:pt idx="312">
                  <c:v>432</c:v>
                </c:pt>
                <c:pt idx="313">
                  <c:v>432</c:v>
                </c:pt>
                <c:pt idx="314">
                  <c:v>615.5</c:v>
                </c:pt>
                <c:pt idx="315">
                  <c:v>547</c:v>
                </c:pt>
                <c:pt idx="316">
                  <c:v>619</c:v>
                </c:pt>
                <c:pt idx="317">
                  <c:v>573.5</c:v>
                </c:pt>
                <c:pt idx="318">
                  <c:v>624</c:v>
                </c:pt>
                <c:pt idx="319">
                  <c:v>657</c:v>
                </c:pt>
                <c:pt idx="320">
                  <c:v>608</c:v>
                </c:pt>
                <c:pt idx="321">
                  <c:v>616</c:v>
                </c:pt>
                <c:pt idx="322">
                  <c:v>610</c:v>
                </c:pt>
                <c:pt idx="323">
                  <c:v>454.5</c:v>
                </c:pt>
                <c:pt idx="324">
                  <c:v>437.5</c:v>
                </c:pt>
                <c:pt idx="325">
                  <c:v>454.5</c:v>
                </c:pt>
                <c:pt idx="326">
                  <c:v>451.5</c:v>
                </c:pt>
                <c:pt idx="327">
                  <c:v>461</c:v>
                </c:pt>
                <c:pt idx="328">
                  <c:v>484.5</c:v>
                </c:pt>
                <c:pt idx="329">
                  <c:v>449</c:v>
                </c:pt>
                <c:pt idx="330">
                  <c:v>446</c:v>
                </c:pt>
                <c:pt idx="331">
                  <c:v>443</c:v>
                </c:pt>
                <c:pt idx="332">
                  <c:v>432</c:v>
                </c:pt>
                <c:pt idx="333">
                  <c:v>432</c:v>
                </c:pt>
                <c:pt idx="334">
                  <c:v>432</c:v>
                </c:pt>
                <c:pt idx="335">
                  <c:v>432</c:v>
                </c:pt>
                <c:pt idx="336">
                  <c:v>432</c:v>
                </c:pt>
                <c:pt idx="337">
                  <c:v>456</c:v>
                </c:pt>
                <c:pt idx="338">
                  <c:v>432</c:v>
                </c:pt>
                <c:pt idx="339">
                  <c:v>432</c:v>
                </c:pt>
                <c:pt idx="340">
                  <c:v>444</c:v>
                </c:pt>
                <c:pt idx="341">
                  <c:v>604</c:v>
                </c:pt>
                <c:pt idx="342">
                  <c:v>518.5</c:v>
                </c:pt>
                <c:pt idx="343">
                  <c:v>576.5</c:v>
                </c:pt>
                <c:pt idx="344">
                  <c:v>483</c:v>
                </c:pt>
                <c:pt idx="345">
                  <c:v>578.5</c:v>
                </c:pt>
                <c:pt idx="346">
                  <c:v>633.5</c:v>
                </c:pt>
                <c:pt idx="347">
                  <c:v>599.5</c:v>
                </c:pt>
                <c:pt idx="348">
                  <c:v>549.5</c:v>
                </c:pt>
                <c:pt idx="349">
                  <c:v>592.5</c:v>
                </c:pt>
                <c:pt idx="350">
                  <c:v>432</c:v>
                </c:pt>
                <c:pt idx="351">
                  <c:v>432</c:v>
                </c:pt>
                <c:pt idx="352">
                  <c:v>432</c:v>
                </c:pt>
                <c:pt idx="353">
                  <c:v>432</c:v>
                </c:pt>
                <c:pt idx="354">
                  <c:v>432</c:v>
                </c:pt>
                <c:pt idx="355">
                  <c:v>432</c:v>
                </c:pt>
                <c:pt idx="356">
                  <c:v>432</c:v>
                </c:pt>
                <c:pt idx="357">
                  <c:v>432</c:v>
                </c:pt>
                <c:pt idx="358">
                  <c:v>432</c:v>
                </c:pt>
                <c:pt idx="359">
                  <c:v>445</c:v>
                </c:pt>
                <c:pt idx="360">
                  <c:v>432</c:v>
                </c:pt>
                <c:pt idx="361">
                  <c:v>437.5</c:v>
                </c:pt>
                <c:pt idx="362">
                  <c:v>448</c:v>
                </c:pt>
                <c:pt idx="363">
                  <c:v>444.5</c:v>
                </c:pt>
                <c:pt idx="364">
                  <c:v>472</c:v>
                </c:pt>
                <c:pt idx="365">
                  <c:v>452.5</c:v>
                </c:pt>
                <c:pt idx="366">
                  <c:v>463.5</c:v>
                </c:pt>
                <c:pt idx="367">
                  <c:v>449.5</c:v>
                </c:pt>
                <c:pt idx="368">
                  <c:v>432</c:v>
                </c:pt>
                <c:pt idx="369">
                  <c:v>432</c:v>
                </c:pt>
                <c:pt idx="370">
                  <c:v>432</c:v>
                </c:pt>
                <c:pt idx="371">
                  <c:v>432</c:v>
                </c:pt>
                <c:pt idx="372">
                  <c:v>432</c:v>
                </c:pt>
                <c:pt idx="373">
                  <c:v>432</c:v>
                </c:pt>
                <c:pt idx="374">
                  <c:v>432</c:v>
                </c:pt>
                <c:pt idx="375">
                  <c:v>432</c:v>
                </c:pt>
                <c:pt idx="376">
                  <c:v>432</c:v>
                </c:pt>
                <c:pt idx="377">
                  <c:v>511.5</c:v>
                </c:pt>
                <c:pt idx="378">
                  <c:v>501.5</c:v>
                </c:pt>
                <c:pt idx="379">
                  <c:v>510</c:v>
                </c:pt>
                <c:pt idx="380">
                  <c:v>492.5</c:v>
                </c:pt>
                <c:pt idx="381">
                  <c:v>553.5</c:v>
                </c:pt>
                <c:pt idx="382">
                  <c:v>606</c:v>
                </c:pt>
                <c:pt idx="383">
                  <c:v>512.5</c:v>
                </c:pt>
                <c:pt idx="384">
                  <c:v>584</c:v>
                </c:pt>
                <c:pt idx="385">
                  <c:v>574</c:v>
                </c:pt>
                <c:pt idx="386">
                  <c:v>953</c:v>
                </c:pt>
                <c:pt idx="387">
                  <c:v>752</c:v>
                </c:pt>
                <c:pt idx="388">
                  <c:v>746</c:v>
                </c:pt>
                <c:pt idx="389">
                  <c:v>722</c:v>
                </c:pt>
                <c:pt idx="390">
                  <c:v>915.5</c:v>
                </c:pt>
                <c:pt idx="391">
                  <c:v>1074</c:v>
                </c:pt>
                <c:pt idx="392">
                  <c:v>814.5</c:v>
                </c:pt>
                <c:pt idx="393">
                  <c:v>776</c:v>
                </c:pt>
                <c:pt idx="394">
                  <c:v>827</c:v>
                </c:pt>
                <c:pt idx="395">
                  <c:v>432</c:v>
                </c:pt>
                <c:pt idx="396">
                  <c:v>432</c:v>
                </c:pt>
                <c:pt idx="397">
                  <c:v>432</c:v>
                </c:pt>
                <c:pt idx="398">
                  <c:v>432</c:v>
                </c:pt>
                <c:pt idx="399">
                  <c:v>432</c:v>
                </c:pt>
                <c:pt idx="400">
                  <c:v>432</c:v>
                </c:pt>
                <c:pt idx="401">
                  <c:v>432</c:v>
                </c:pt>
                <c:pt idx="402">
                  <c:v>432</c:v>
                </c:pt>
                <c:pt idx="403">
                  <c:v>432</c:v>
                </c:pt>
                <c:pt idx="404">
                  <c:v>432</c:v>
                </c:pt>
                <c:pt idx="405">
                  <c:v>432</c:v>
                </c:pt>
                <c:pt idx="406">
                  <c:v>432</c:v>
                </c:pt>
                <c:pt idx="407">
                  <c:v>432</c:v>
                </c:pt>
                <c:pt idx="408">
                  <c:v>432</c:v>
                </c:pt>
                <c:pt idx="409">
                  <c:v>432</c:v>
                </c:pt>
                <c:pt idx="410">
                  <c:v>432</c:v>
                </c:pt>
                <c:pt idx="411">
                  <c:v>432</c:v>
                </c:pt>
                <c:pt idx="412">
                  <c:v>432</c:v>
                </c:pt>
                <c:pt idx="413">
                  <c:v>458</c:v>
                </c:pt>
                <c:pt idx="414">
                  <c:v>432</c:v>
                </c:pt>
                <c:pt idx="415">
                  <c:v>481.5</c:v>
                </c:pt>
                <c:pt idx="416">
                  <c:v>443</c:v>
                </c:pt>
                <c:pt idx="417">
                  <c:v>460</c:v>
                </c:pt>
                <c:pt idx="418">
                  <c:v>526.5</c:v>
                </c:pt>
                <c:pt idx="419">
                  <c:v>497</c:v>
                </c:pt>
                <c:pt idx="420">
                  <c:v>485</c:v>
                </c:pt>
                <c:pt idx="421">
                  <c:v>490</c:v>
                </c:pt>
                <c:pt idx="422">
                  <c:v>470</c:v>
                </c:pt>
                <c:pt idx="423">
                  <c:v>438.5</c:v>
                </c:pt>
                <c:pt idx="424">
                  <c:v>439.5</c:v>
                </c:pt>
                <c:pt idx="425">
                  <c:v>432</c:v>
                </c:pt>
                <c:pt idx="426">
                  <c:v>437.5</c:v>
                </c:pt>
                <c:pt idx="427">
                  <c:v>469</c:v>
                </c:pt>
                <c:pt idx="428">
                  <c:v>432</c:v>
                </c:pt>
                <c:pt idx="429">
                  <c:v>457.5</c:v>
                </c:pt>
                <c:pt idx="430">
                  <c:v>466</c:v>
                </c:pt>
                <c:pt idx="431">
                  <c:v>437.5</c:v>
                </c:pt>
                <c:pt idx="432">
                  <c:v>432</c:v>
                </c:pt>
                <c:pt idx="433">
                  <c:v>432</c:v>
                </c:pt>
                <c:pt idx="434">
                  <c:v>432</c:v>
                </c:pt>
                <c:pt idx="435">
                  <c:v>432</c:v>
                </c:pt>
                <c:pt idx="436">
                  <c:v>446</c:v>
                </c:pt>
                <c:pt idx="437">
                  <c:v>432</c:v>
                </c:pt>
                <c:pt idx="438">
                  <c:v>432</c:v>
                </c:pt>
                <c:pt idx="439">
                  <c:v>432</c:v>
                </c:pt>
                <c:pt idx="440">
                  <c:v>445</c:v>
                </c:pt>
                <c:pt idx="441">
                  <c:v>432</c:v>
                </c:pt>
                <c:pt idx="442">
                  <c:v>432</c:v>
                </c:pt>
                <c:pt idx="443">
                  <c:v>432</c:v>
                </c:pt>
                <c:pt idx="444">
                  <c:v>447</c:v>
                </c:pt>
                <c:pt idx="445">
                  <c:v>458</c:v>
                </c:pt>
                <c:pt idx="446">
                  <c:v>432</c:v>
                </c:pt>
                <c:pt idx="447">
                  <c:v>458</c:v>
                </c:pt>
                <c:pt idx="448">
                  <c:v>446</c:v>
                </c:pt>
                <c:pt idx="449">
                  <c:v>432</c:v>
                </c:pt>
                <c:pt idx="450">
                  <c:v>432</c:v>
                </c:pt>
                <c:pt idx="451">
                  <c:v>432</c:v>
                </c:pt>
                <c:pt idx="452">
                  <c:v>432</c:v>
                </c:pt>
                <c:pt idx="453">
                  <c:v>432</c:v>
                </c:pt>
                <c:pt idx="454">
                  <c:v>432</c:v>
                </c:pt>
                <c:pt idx="455">
                  <c:v>432</c:v>
                </c:pt>
                <c:pt idx="456">
                  <c:v>432</c:v>
                </c:pt>
                <c:pt idx="457">
                  <c:v>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DC-0F47-AF0A-168D1540E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764416"/>
        <c:axId val="1130773376"/>
      </c:scatterChart>
      <c:valAx>
        <c:axId val="113076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Population Under 65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73376"/>
        <c:crosses val="autoZero"/>
        <c:crossBetween val="midCat"/>
      </c:valAx>
      <c:valAx>
        <c:axId val="113077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Influenza Deaths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6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Vaccination Coverage vs Death Rates in High Elderly Population States (&gt;15% aged 65+)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Chart4_Data!$D$1</c:f>
              <c:strCache>
                <c:ptCount val="1"/>
                <c:pt idx="0">
                  <c:v>Death_Rate_65_Plus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C00000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2694811453653"/>
                  <c:y val="-5.410891820340639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>
                        <a:solidFill>
                          <a:schemeClr val="tx1"/>
                        </a:solidFill>
                      </a:rPr>
                      <a:t>y = 2.8111x - 76.118</a:t>
                    </a:r>
                    <a:br>
                      <a:rPr lang="en-US" sz="1100" baseline="0">
                        <a:solidFill>
                          <a:schemeClr val="tx1"/>
                        </a:solidFill>
                      </a:rPr>
                    </a:br>
                    <a:r>
                      <a:rPr lang="en-US" sz="1100" baseline="0">
                        <a:solidFill>
                          <a:schemeClr val="tx1"/>
                        </a:solidFill>
                      </a:rPr>
                      <a:t>R² = 0.1455</a:t>
                    </a:r>
                    <a:endParaRPr lang="en-US" sz="1100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Chart4_Data!$C$2:$C$459</c:f>
              <c:numCache>
                <c:formatCode>General</c:formatCode>
                <c:ptCount val="76"/>
                <c:pt idx="0">
                  <c:v>63</c:v>
                </c:pt>
                <c:pt idx="1">
                  <c:v>59.4</c:v>
                </c:pt>
                <c:pt idx="2">
                  <c:v>60.8</c:v>
                </c:pt>
                <c:pt idx="3">
                  <c:v>59.1</c:v>
                </c:pt>
                <c:pt idx="4">
                  <c:v>62.8</c:v>
                </c:pt>
                <c:pt idx="5">
                  <c:v>66.7</c:v>
                </c:pt>
                <c:pt idx="6">
                  <c:v>66.599999999999994</c:v>
                </c:pt>
                <c:pt idx="7">
                  <c:v>70.400000000000006</c:v>
                </c:pt>
                <c:pt idx="8">
                  <c:v>68.2</c:v>
                </c:pt>
                <c:pt idx="9">
                  <c:v>73.599999999999994</c:v>
                </c:pt>
                <c:pt idx="10">
                  <c:v>67.8</c:v>
                </c:pt>
                <c:pt idx="11">
                  <c:v>65.2</c:v>
                </c:pt>
                <c:pt idx="12">
                  <c:v>62.3</c:v>
                </c:pt>
                <c:pt idx="13">
                  <c:v>56.7</c:v>
                </c:pt>
                <c:pt idx="14">
                  <c:v>58.7</c:v>
                </c:pt>
                <c:pt idx="15">
                  <c:v>62</c:v>
                </c:pt>
                <c:pt idx="16">
                  <c:v>60.6</c:v>
                </c:pt>
                <c:pt idx="17">
                  <c:v>64</c:v>
                </c:pt>
                <c:pt idx="18">
                  <c:v>69.2</c:v>
                </c:pt>
                <c:pt idx="19">
                  <c:v>64.099999999999994</c:v>
                </c:pt>
                <c:pt idx="20">
                  <c:v>66.2</c:v>
                </c:pt>
                <c:pt idx="21">
                  <c:v>76.5</c:v>
                </c:pt>
                <c:pt idx="22">
                  <c:v>73.5</c:v>
                </c:pt>
                <c:pt idx="23">
                  <c:v>68.8</c:v>
                </c:pt>
                <c:pt idx="24">
                  <c:v>64.3</c:v>
                </c:pt>
                <c:pt idx="25">
                  <c:v>77</c:v>
                </c:pt>
                <c:pt idx="26">
                  <c:v>66</c:v>
                </c:pt>
                <c:pt idx="27">
                  <c:v>66.8</c:v>
                </c:pt>
                <c:pt idx="28">
                  <c:v>68.400000000000006</c:v>
                </c:pt>
                <c:pt idx="29">
                  <c:v>66.5</c:v>
                </c:pt>
                <c:pt idx="30">
                  <c:v>69.3</c:v>
                </c:pt>
                <c:pt idx="31">
                  <c:v>67.2</c:v>
                </c:pt>
                <c:pt idx="32">
                  <c:v>68.7</c:v>
                </c:pt>
                <c:pt idx="33">
                  <c:v>59.3</c:v>
                </c:pt>
                <c:pt idx="34">
                  <c:v>62.6</c:v>
                </c:pt>
                <c:pt idx="35">
                  <c:v>71.099999999999994</c:v>
                </c:pt>
                <c:pt idx="36">
                  <c:v>65.599999999999994</c:v>
                </c:pt>
                <c:pt idx="37">
                  <c:v>65.5</c:v>
                </c:pt>
                <c:pt idx="38">
                  <c:v>67.5</c:v>
                </c:pt>
                <c:pt idx="39">
                  <c:v>60.5</c:v>
                </c:pt>
                <c:pt idx="40">
                  <c:v>64.5</c:v>
                </c:pt>
                <c:pt idx="41">
                  <c:v>65.599999999999994</c:v>
                </c:pt>
                <c:pt idx="42">
                  <c:v>65</c:v>
                </c:pt>
                <c:pt idx="43">
                  <c:v>65</c:v>
                </c:pt>
                <c:pt idx="44">
                  <c:v>61.2</c:v>
                </c:pt>
                <c:pt idx="45">
                  <c:v>67.599999999999994</c:v>
                </c:pt>
                <c:pt idx="46">
                  <c:v>55.8</c:v>
                </c:pt>
                <c:pt idx="47">
                  <c:v>57.2</c:v>
                </c:pt>
                <c:pt idx="48">
                  <c:v>72.099999999999994</c:v>
                </c:pt>
                <c:pt idx="49">
                  <c:v>67</c:v>
                </c:pt>
                <c:pt idx="50">
                  <c:v>67.599999999999994</c:v>
                </c:pt>
                <c:pt idx="51">
                  <c:v>64.599999999999994</c:v>
                </c:pt>
                <c:pt idx="52">
                  <c:v>65.400000000000006</c:v>
                </c:pt>
                <c:pt idx="53">
                  <c:v>71.5</c:v>
                </c:pt>
                <c:pt idx="54">
                  <c:v>67</c:v>
                </c:pt>
                <c:pt idx="55">
                  <c:v>72.3</c:v>
                </c:pt>
                <c:pt idx="56">
                  <c:v>67.400000000000006</c:v>
                </c:pt>
                <c:pt idx="57">
                  <c:v>64.900000000000006</c:v>
                </c:pt>
                <c:pt idx="58">
                  <c:v>72.8</c:v>
                </c:pt>
                <c:pt idx="59">
                  <c:v>68.7</c:v>
                </c:pt>
                <c:pt idx="60">
                  <c:v>69.900000000000006</c:v>
                </c:pt>
                <c:pt idx="61">
                  <c:v>72.8</c:v>
                </c:pt>
                <c:pt idx="62">
                  <c:v>76.8</c:v>
                </c:pt>
                <c:pt idx="63">
                  <c:v>70.900000000000006</c:v>
                </c:pt>
                <c:pt idx="64">
                  <c:v>68.3</c:v>
                </c:pt>
                <c:pt idx="65">
                  <c:v>66.8</c:v>
                </c:pt>
                <c:pt idx="66">
                  <c:v>63.9</c:v>
                </c:pt>
                <c:pt idx="67">
                  <c:v>69.400000000000006</c:v>
                </c:pt>
                <c:pt idx="68">
                  <c:v>73.2</c:v>
                </c:pt>
                <c:pt idx="69">
                  <c:v>72.5</c:v>
                </c:pt>
                <c:pt idx="70">
                  <c:v>73</c:v>
                </c:pt>
                <c:pt idx="71">
                  <c:v>75.400000000000006</c:v>
                </c:pt>
                <c:pt idx="72">
                  <c:v>72.400000000000006</c:v>
                </c:pt>
                <c:pt idx="73">
                  <c:v>71.599999999999994</c:v>
                </c:pt>
                <c:pt idx="74">
                  <c:v>72.599999999999994</c:v>
                </c:pt>
                <c:pt idx="75">
                  <c:v>55.7</c:v>
                </c:pt>
              </c:numCache>
            </c:numRef>
          </c:xVal>
          <c:yVal>
            <c:numRef>
              <c:f>Chart4_Data!$D$2:$D$459</c:f>
              <c:numCache>
                <c:formatCode>#,##0.00</c:formatCode>
                <c:ptCount val="76"/>
                <c:pt idx="0">
                  <c:v>98.83</c:v>
                </c:pt>
                <c:pt idx="1">
                  <c:v>62.6</c:v>
                </c:pt>
                <c:pt idx="2">
                  <c:v>65.92</c:v>
                </c:pt>
                <c:pt idx="3">
                  <c:v>114.63</c:v>
                </c:pt>
                <c:pt idx="4">
                  <c:v>107.86</c:v>
                </c:pt>
                <c:pt idx="5">
                  <c:v>112.64</c:v>
                </c:pt>
                <c:pt idx="6">
                  <c:v>85.89</c:v>
                </c:pt>
                <c:pt idx="7">
                  <c:v>127.23</c:v>
                </c:pt>
                <c:pt idx="8">
                  <c:v>132.84</c:v>
                </c:pt>
                <c:pt idx="9">
                  <c:v>105.43</c:v>
                </c:pt>
                <c:pt idx="10">
                  <c:v>60.59</c:v>
                </c:pt>
                <c:pt idx="11">
                  <c:v>60.63</c:v>
                </c:pt>
                <c:pt idx="12">
                  <c:v>63.54</c:v>
                </c:pt>
                <c:pt idx="13">
                  <c:v>60.65</c:v>
                </c:pt>
                <c:pt idx="14">
                  <c:v>64.09</c:v>
                </c:pt>
                <c:pt idx="15">
                  <c:v>61.72</c:v>
                </c:pt>
                <c:pt idx="16">
                  <c:v>62.83</c:v>
                </c:pt>
                <c:pt idx="17">
                  <c:v>59.23</c:v>
                </c:pt>
                <c:pt idx="18">
                  <c:v>174.52</c:v>
                </c:pt>
                <c:pt idx="19">
                  <c:v>218.95</c:v>
                </c:pt>
                <c:pt idx="20">
                  <c:v>191.97</c:v>
                </c:pt>
                <c:pt idx="21">
                  <c:v>111.07</c:v>
                </c:pt>
                <c:pt idx="22">
                  <c:v>103.41</c:v>
                </c:pt>
                <c:pt idx="23">
                  <c:v>91.08</c:v>
                </c:pt>
                <c:pt idx="24">
                  <c:v>101.85</c:v>
                </c:pt>
                <c:pt idx="25">
                  <c:v>109.21</c:v>
                </c:pt>
                <c:pt idx="26">
                  <c:v>113.31</c:v>
                </c:pt>
                <c:pt idx="27">
                  <c:v>120.55</c:v>
                </c:pt>
                <c:pt idx="28">
                  <c:v>92.98</c:v>
                </c:pt>
                <c:pt idx="29">
                  <c:v>110.93</c:v>
                </c:pt>
                <c:pt idx="30">
                  <c:v>86.96</c:v>
                </c:pt>
                <c:pt idx="31">
                  <c:v>126.03</c:v>
                </c:pt>
                <c:pt idx="32">
                  <c:v>88.15</c:v>
                </c:pt>
                <c:pt idx="33">
                  <c:v>109.14</c:v>
                </c:pt>
                <c:pt idx="34">
                  <c:v>88.39</c:v>
                </c:pt>
                <c:pt idx="35">
                  <c:v>101.06</c:v>
                </c:pt>
                <c:pt idx="36">
                  <c:v>127.59</c:v>
                </c:pt>
                <c:pt idx="37">
                  <c:v>145.68</c:v>
                </c:pt>
                <c:pt idx="38">
                  <c:v>133.83000000000001</c:v>
                </c:pt>
                <c:pt idx="39">
                  <c:v>115.34</c:v>
                </c:pt>
                <c:pt idx="40">
                  <c:v>98.42</c:v>
                </c:pt>
                <c:pt idx="41">
                  <c:v>89.78</c:v>
                </c:pt>
                <c:pt idx="42">
                  <c:v>77.27</c:v>
                </c:pt>
                <c:pt idx="43">
                  <c:v>129.43</c:v>
                </c:pt>
                <c:pt idx="44">
                  <c:v>124.21</c:v>
                </c:pt>
                <c:pt idx="45">
                  <c:v>97.72</c:v>
                </c:pt>
                <c:pt idx="46">
                  <c:v>64.11</c:v>
                </c:pt>
                <c:pt idx="47">
                  <c:v>52.02</c:v>
                </c:pt>
                <c:pt idx="48">
                  <c:v>114</c:v>
                </c:pt>
                <c:pt idx="49">
                  <c:v>106.63</c:v>
                </c:pt>
                <c:pt idx="50">
                  <c:v>126.16</c:v>
                </c:pt>
                <c:pt idx="51">
                  <c:v>107.59</c:v>
                </c:pt>
                <c:pt idx="52">
                  <c:v>127.44</c:v>
                </c:pt>
                <c:pt idx="53">
                  <c:v>107.5</c:v>
                </c:pt>
                <c:pt idx="54">
                  <c:v>125.18</c:v>
                </c:pt>
                <c:pt idx="55">
                  <c:v>101.06</c:v>
                </c:pt>
                <c:pt idx="56">
                  <c:v>125.87</c:v>
                </c:pt>
                <c:pt idx="57">
                  <c:v>144.78</c:v>
                </c:pt>
                <c:pt idx="58">
                  <c:v>105.08</c:v>
                </c:pt>
                <c:pt idx="59">
                  <c:v>96.84</c:v>
                </c:pt>
                <c:pt idx="60">
                  <c:v>64.88</c:v>
                </c:pt>
                <c:pt idx="61">
                  <c:v>181.31</c:v>
                </c:pt>
                <c:pt idx="62">
                  <c:v>216.43</c:v>
                </c:pt>
                <c:pt idx="63">
                  <c:v>175.03</c:v>
                </c:pt>
                <c:pt idx="64">
                  <c:v>207.01</c:v>
                </c:pt>
                <c:pt idx="65">
                  <c:v>147.44</c:v>
                </c:pt>
                <c:pt idx="66">
                  <c:v>170.43</c:v>
                </c:pt>
                <c:pt idx="67">
                  <c:v>126.98</c:v>
                </c:pt>
                <c:pt idx="68">
                  <c:v>121.87</c:v>
                </c:pt>
                <c:pt idx="69">
                  <c:v>116.65</c:v>
                </c:pt>
                <c:pt idx="70">
                  <c:v>120.98</c:v>
                </c:pt>
                <c:pt idx="71">
                  <c:v>130.12</c:v>
                </c:pt>
                <c:pt idx="72">
                  <c:v>105.98</c:v>
                </c:pt>
                <c:pt idx="73">
                  <c:v>143.18</c:v>
                </c:pt>
                <c:pt idx="74">
                  <c:v>95.9</c:v>
                </c:pt>
                <c:pt idx="75">
                  <c:v>83.59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BF-2E4A-9A19-10E799714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705728"/>
        <c:axId val="962823936"/>
      </c:scatterChart>
      <c:valAx>
        <c:axId val="933705728"/>
        <c:scaling>
          <c:orientation val="minMax"/>
          <c:max val="80"/>
          <c:min val="5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Vaccination Rate </a:t>
                </a:r>
                <a:r>
                  <a:rPr lang="en-US" baseline="0"/>
                  <a:t>of </a:t>
                </a:r>
                <a:r>
                  <a:rPr lang="en-US"/>
                  <a:t>65+ Population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23936"/>
        <c:crosses val="autoZero"/>
        <c:crossBetween val="midCat"/>
      </c:valAx>
      <c:valAx>
        <c:axId val="96282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 Rate per 100,000 (65+ Population)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70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Variability in Influenza Deaths for High Risk (65+) and Low Risk (Under 65) Populations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tx1"/>
              </a:solidFill>
              <a:latin typeface="Aptos Narrow" panose="02110004020202020204"/>
            </a:rPr>
            <a:t>Variability in Influenza Deaths for High Risk (65+) and Low Risk (Under 65) Populations</a:t>
          </a:r>
        </a:p>
      </cx:txPr>
    </cx:title>
    <cx:plotArea>
      <cx:plotAreaRegion>
        <cx:series layoutId="boxWhisker" uniqueId="{6306AEA2-A5C7-5A4D-895F-DB1DDE133756}">
          <cx:tx>
            <cx:txData>
              <cx:f>_xlchart.v1.0</cx:f>
              <cx:v>Under 65 Years</cx:v>
            </cx:txData>
          </cx:tx>
          <cx:spPr>
            <a:solidFill>
              <a:schemeClr val="accent2"/>
            </a:solidFill>
            <a:ln>
              <a:solidFill>
                <a:schemeClr val="accent2"/>
              </a:solidFill>
            </a:ln>
          </cx:spPr>
          <cx:dataPt idx="445">
            <cx:spPr>
              <a:ln>
                <a:solidFill>
                  <a:srgbClr val="E97132"/>
                </a:solidFill>
              </a:ln>
            </cx:spPr>
          </cx:dataPt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5E563CB-3792-A246-9FFA-9C5DF3E8F92B}">
          <cx:tx>
            <cx:txData>
              <cx:f>_xlchart.v1.2</cx:f>
              <cx:v>65+ Years</cx:v>
            </cx:txData>
          </cx:tx>
          <cx:spPr>
            <a:solidFill>
              <a:schemeClr val="accent1"/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Population Groups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chemeClr val="tx1"/>
                  </a:solidFill>
                  <a:latin typeface="Aptos Narrow" panose="02110004020202020204"/>
                </a:rPr>
                <a:t>Population Groups</a:t>
              </a:r>
            </a:p>
          </cx:txPr>
        </cx:title>
        <cx:tickLabels/>
      </cx:axis>
      <cx:axis id="1">
        <cx:valScaling/>
        <cx:title>
          <cx:tx>
            <cx:txData>
              <cx:v>Influenza Deaths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chemeClr val="tx1"/>
                  </a:solidFill>
                  <a:latin typeface="Aptos Narrow" panose="02110004020202020204"/>
                </a:rPr>
                <a:t>Influenza Deaths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9</xdr:row>
      <xdr:rowOff>76200</xdr:rowOff>
    </xdr:from>
    <xdr:to>
      <xdr:col>7</xdr:col>
      <xdr:colOff>279400</xdr:colOff>
      <xdr:row>31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B476E2-0393-2D9C-1224-A8271E108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641350</xdr:colOff>
      <xdr:row>1</xdr:row>
      <xdr:rowOff>88900</xdr:rowOff>
    </xdr:from>
    <xdr:to>
      <xdr:col>15</xdr:col>
      <xdr:colOff>660400</xdr:colOff>
      <xdr:row>28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5BE3703-106F-9EA9-1A53-628E5E781E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6550" y="292100"/>
              <a:ext cx="8274050" cy="551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444500</xdr:colOff>
      <xdr:row>23</xdr:row>
      <xdr:rowOff>114300</xdr:rowOff>
    </xdr:from>
    <xdr:to>
      <xdr:col>13</xdr:col>
      <xdr:colOff>254000</xdr:colOff>
      <xdr:row>26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DC0487-7DB3-74F3-B57E-74C9A7247037}"/>
            </a:ext>
          </a:extLst>
        </xdr:cNvPr>
        <xdr:cNvSpPr txBox="1"/>
      </xdr:nvSpPr>
      <xdr:spPr>
        <a:xfrm>
          <a:off x="10999611" y="4820356"/>
          <a:ext cx="635000" cy="5376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Median: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571.25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  <xdr:twoCellAnchor>
    <xdr:from>
      <xdr:col>7</xdr:col>
      <xdr:colOff>482600</xdr:colOff>
      <xdr:row>23</xdr:row>
      <xdr:rowOff>165100</xdr:rowOff>
    </xdr:from>
    <xdr:to>
      <xdr:col>8</xdr:col>
      <xdr:colOff>317500</xdr:colOff>
      <xdr:row>26</xdr:row>
      <xdr:rowOff>50800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5DC3868-27EE-C441-ABC2-F9B247FDD8C4}"/>
            </a:ext>
          </a:extLst>
        </xdr:cNvPr>
        <xdr:cNvSpPr txBox="1"/>
      </xdr:nvSpPr>
      <xdr:spPr>
        <a:xfrm>
          <a:off x="6908800" y="4838700"/>
          <a:ext cx="660400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Median: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438.5</a:t>
          </a:r>
          <a:r>
            <a:rPr lang="en-US">
              <a:effectLst/>
            </a:rPr>
            <a:t> 0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88900</xdr:rowOff>
    </xdr:from>
    <xdr:to>
      <xdr:col>13</xdr:col>
      <xdr:colOff>190500</xdr:colOff>
      <xdr:row>20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3E9C41-5EA6-594B-813F-7D850DBF3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44450</xdr:colOff>
      <xdr:row>22</xdr:row>
      <xdr:rowOff>196850</xdr:rowOff>
    </xdr:from>
    <xdr:to>
      <xdr:col>13</xdr:col>
      <xdr:colOff>203200</xdr:colOff>
      <xdr:row>43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DE15CF-EDC6-5CFD-F3BD-FD407C964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431800</xdr:colOff>
      <xdr:row>69</xdr:row>
      <xdr:rowOff>190500</xdr:rowOff>
    </xdr:from>
    <xdr:to>
      <xdr:col>14</xdr:col>
      <xdr:colOff>571500</xdr:colOff>
      <xdr:row>175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66413-049A-B40F-3473-5F72D7AEF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54C288-C587-DE47-AFE5-8D055DF39551}" name="Table1" displayName="Table1" ref="A1:C7" totalsRowShown="0" headerRowDxfId="5">
  <autoFilter ref="A1:C7" xr:uid="{BC54C288-C587-DE47-AFE5-8D055DF39551}"/>
  <tableColumns count="3">
    <tableColumn id="1" xr3:uid="{F31D8BAA-CB6B-114C-9013-4198098E08C5}" name="Statistic"/>
    <tableColumn id="2" xr3:uid="{C1AE986F-EE08-E346-B26D-7C35579DDE89}" name="Under 65 Years" dataDxfId="4"/>
    <tableColumn id="3" xr3:uid="{F9EBD906-D7E9-5F48-B57F-ADBD4D96B9FC}" name="65+ Years" dataDxfId="3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DD057A-7639-0F4E-986D-4060717A2FFD}" name="Table2" displayName="Table2" ref="A1:D4" totalsRowShown="0" headerRowDxfId="2">
  <autoFilter ref="A1:D4" xr:uid="{2EDD057A-7639-0F4E-986D-4060717A2FFD}"/>
  <tableColumns count="4">
    <tableColumn id="1" xr3:uid="{4AB6352E-1A90-974E-A28A-8FF6E198AB2F}" name="Vaccination Coverage"/>
    <tableColumn id="2" xr3:uid="{59A7D4F0-9CE5-E34F-9B05-3C1A0382C8D4}" name="Number of Observations"/>
    <tableColumn id="3" xr3:uid="{97AD6910-966D-4947-8A7C-D064256720B8}" name="Average Death Rate (per 100k)" dataDxfId="1"/>
    <tableColumn id="4" xr3:uid="{BA224DA8-3C88-924F-AA89-6D6050D2ACC4}" name="Median Death Rate (per 100k)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83D7-1C26-E04D-B947-3407712AD9D8}">
  <dimension ref="A1:Q459"/>
  <sheetViews>
    <sheetView topLeftCell="F1" workbookViewId="0">
      <selection activeCell="K2" sqref="K2:K459"/>
    </sheetView>
  </sheetViews>
  <sheetFormatPr baseColWidth="10" defaultRowHeight="16" x14ac:dyDescent="0.2"/>
  <cols>
    <col min="1" max="1" width="22.5" bestFit="1" customWidth="1"/>
    <col min="2" max="2" width="17.5" bestFit="1" customWidth="1"/>
    <col min="3" max="3" width="9.5" customWidth="1"/>
    <col min="4" max="6" width="18.83203125" bestFit="1" customWidth="1"/>
    <col min="7" max="7" width="15.5" bestFit="1" customWidth="1"/>
    <col min="8" max="8" width="14" bestFit="1" customWidth="1"/>
    <col min="9" max="9" width="15.1640625" bestFit="1" customWidth="1"/>
    <col min="10" max="10" width="19.5" bestFit="1" customWidth="1"/>
    <col min="11" max="11" width="18" bestFit="1" customWidth="1"/>
    <col min="12" max="12" width="15.6640625" bestFit="1" customWidth="1"/>
    <col min="13" max="13" width="19.1640625" bestFit="1" customWidth="1"/>
    <col min="14" max="14" width="12.33203125" bestFit="1" customWidth="1"/>
    <col min="16" max="16" width="17.33203125" bestFit="1" customWidth="1"/>
    <col min="17" max="17" width="15.6640625" bestFit="1" customWidth="1"/>
  </cols>
  <sheetData>
    <row r="1" spans="1:17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6" t="s">
        <v>16</v>
      </c>
    </row>
    <row r="2" spans="1:17" x14ac:dyDescent="0.2">
      <c r="A2" t="s">
        <v>17</v>
      </c>
      <c r="B2" t="s">
        <v>18</v>
      </c>
      <c r="C2">
        <v>2009</v>
      </c>
      <c r="D2" s="10">
        <v>4714494.7070000004</v>
      </c>
      <c r="E2" s="10">
        <v>4077928.781</v>
      </c>
      <c r="F2" s="10">
        <v>636565.92599999998</v>
      </c>
      <c r="G2" s="8">
        <v>464.5</v>
      </c>
      <c r="H2" s="8">
        <v>727</v>
      </c>
      <c r="I2" s="8">
        <v>1191.5</v>
      </c>
      <c r="J2" s="9">
        <v>11.39</v>
      </c>
      <c r="K2" s="9">
        <v>114.21</v>
      </c>
      <c r="L2" s="9">
        <v>25.27</v>
      </c>
      <c r="M2" s="9">
        <v>25.27</v>
      </c>
      <c r="N2">
        <v>86.5</v>
      </c>
      <c r="O2">
        <v>13.5</v>
      </c>
      <c r="Q2">
        <v>67.400000000000006</v>
      </c>
    </row>
    <row r="3" spans="1:17" x14ac:dyDescent="0.2">
      <c r="A3" t="s">
        <v>19</v>
      </c>
      <c r="B3" t="s">
        <v>18</v>
      </c>
      <c r="C3">
        <v>2010</v>
      </c>
      <c r="D3" s="10">
        <v>4865573.2369999997</v>
      </c>
      <c r="E3" s="10">
        <v>4207655.7259999998</v>
      </c>
      <c r="F3" s="10">
        <v>657917.51100000006</v>
      </c>
      <c r="G3" s="8">
        <v>464.5</v>
      </c>
      <c r="H3" s="8">
        <v>763</v>
      </c>
      <c r="I3" s="8">
        <v>1227.5</v>
      </c>
      <c r="J3" s="9">
        <v>11.04</v>
      </c>
      <c r="K3" s="9">
        <v>115.97</v>
      </c>
      <c r="L3" s="9">
        <v>25.23</v>
      </c>
      <c r="M3" s="9">
        <v>25.23</v>
      </c>
      <c r="N3">
        <v>86.48</v>
      </c>
      <c r="O3">
        <v>13.52</v>
      </c>
      <c r="P3">
        <v>30.6</v>
      </c>
      <c r="Q3">
        <v>68.5</v>
      </c>
    </row>
    <row r="4" spans="1:17" x14ac:dyDescent="0.2">
      <c r="A4" t="s">
        <v>20</v>
      </c>
      <c r="B4" t="s">
        <v>18</v>
      </c>
      <c r="C4">
        <v>2011</v>
      </c>
      <c r="D4" s="10">
        <v>5081332.551</v>
      </c>
      <c r="E4" s="10">
        <v>4382426.7300000004</v>
      </c>
      <c r="F4" s="10">
        <v>698905.821</v>
      </c>
      <c r="G4" s="8">
        <v>443</v>
      </c>
      <c r="H4" s="8">
        <v>769.5</v>
      </c>
      <c r="I4" s="8">
        <v>1212.5</v>
      </c>
      <c r="J4" s="9">
        <v>10.11</v>
      </c>
      <c r="K4" s="9">
        <v>110.1</v>
      </c>
      <c r="L4" s="9">
        <v>23.86</v>
      </c>
      <c r="M4" s="9">
        <v>23.86</v>
      </c>
      <c r="N4">
        <v>86.25</v>
      </c>
      <c r="O4">
        <v>13.75</v>
      </c>
      <c r="P4">
        <v>29.8</v>
      </c>
      <c r="Q4">
        <v>67</v>
      </c>
    </row>
    <row r="5" spans="1:17" x14ac:dyDescent="0.2">
      <c r="A5" t="s">
        <v>21</v>
      </c>
      <c r="B5" t="s">
        <v>18</v>
      </c>
      <c r="C5">
        <v>2012</v>
      </c>
      <c r="D5" s="10">
        <v>4866348.801</v>
      </c>
      <c r="E5" s="10">
        <v>4185178.0260000001</v>
      </c>
      <c r="F5" s="10">
        <v>681170.77500000002</v>
      </c>
      <c r="G5" s="8">
        <v>448</v>
      </c>
      <c r="H5" s="8">
        <v>754</v>
      </c>
      <c r="I5" s="8">
        <v>1202</v>
      </c>
      <c r="J5" s="9">
        <v>10.7</v>
      </c>
      <c r="K5" s="9">
        <v>110.69</v>
      </c>
      <c r="L5" s="9">
        <v>24.7</v>
      </c>
      <c r="M5" s="9">
        <v>24.7</v>
      </c>
      <c r="N5">
        <v>86</v>
      </c>
      <c r="O5">
        <v>14</v>
      </c>
      <c r="P5">
        <v>30.6</v>
      </c>
      <c r="Q5">
        <v>66.599999999999994</v>
      </c>
    </row>
    <row r="6" spans="1:17" x14ac:dyDescent="0.2">
      <c r="A6" t="s">
        <v>22</v>
      </c>
      <c r="B6" t="s">
        <v>18</v>
      </c>
      <c r="C6">
        <v>2013</v>
      </c>
      <c r="D6" s="10">
        <v>4877992.6129999999</v>
      </c>
      <c r="E6" s="10">
        <v>4179281.43</v>
      </c>
      <c r="F6" s="10">
        <v>698711.18299999996</v>
      </c>
      <c r="G6" s="8">
        <v>499</v>
      </c>
      <c r="H6" s="8">
        <v>789.5</v>
      </c>
      <c r="I6" s="8">
        <v>1288.5</v>
      </c>
      <c r="J6" s="9">
        <v>11.94</v>
      </c>
      <c r="K6" s="9">
        <v>112.99</v>
      </c>
      <c r="L6" s="9">
        <v>26.41</v>
      </c>
      <c r="M6" s="9">
        <v>26.41</v>
      </c>
      <c r="N6">
        <v>85.68</v>
      </c>
      <c r="O6">
        <v>14.32</v>
      </c>
      <c r="P6">
        <v>29.7</v>
      </c>
      <c r="Q6">
        <v>70.599999999999994</v>
      </c>
    </row>
    <row r="7" spans="1:17" x14ac:dyDescent="0.2">
      <c r="A7" t="s">
        <v>23</v>
      </c>
      <c r="B7" t="s">
        <v>18</v>
      </c>
      <c r="C7">
        <v>2014</v>
      </c>
      <c r="D7" s="10">
        <v>4621408.9639999997</v>
      </c>
      <c r="E7" s="10">
        <v>3956957.0359999998</v>
      </c>
      <c r="F7" s="10">
        <v>664451.92799999996</v>
      </c>
      <c r="G7" s="8">
        <v>510</v>
      </c>
      <c r="H7" s="8">
        <v>782</v>
      </c>
      <c r="I7" s="8">
        <v>1292</v>
      </c>
      <c r="J7" s="9">
        <v>12.89</v>
      </c>
      <c r="K7" s="9">
        <v>117.69</v>
      </c>
      <c r="L7" s="9">
        <v>27.96</v>
      </c>
      <c r="M7" s="9">
        <v>27.96</v>
      </c>
      <c r="N7">
        <v>85.62</v>
      </c>
      <c r="O7">
        <v>14.38</v>
      </c>
      <c r="P7">
        <v>29.2</v>
      </c>
      <c r="Q7">
        <v>65.3</v>
      </c>
    </row>
    <row r="8" spans="1:17" x14ac:dyDescent="0.2">
      <c r="A8" t="s">
        <v>24</v>
      </c>
      <c r="B8" t="s">
        <v>18</v>
      </c>
      <c r="C8">
        <v>2015</v>
      </c>
      <c r="D8" s="10">
        <v>4726866.176</v>
      </c>
      <c r="E8" s="10">
        <v>4022073.395</v>
      </c>
      <c r="F8" s="10">
        <v>704792.78099999996</v>
      </c>
      <c r="G8" s="8">
        <v>498</v>
      </c>
      <c r="H8" s="8">
        <v>884</v>
      </c>
      <c r="I8" s="8">
        <v>1382</v>
      </c>
      <c r="J8" s="9">
        <v>12.38</v>
      </c>
      <c r="K8" s="9">
        <v>125.43</v>
      </c>
      <c r="L8" s="9">
        <v>29.24</v>
      </c>
      <c r="M8" s="9">
        <v>29.24</v>
      </c>
      <c r="N8">
        <v>85.09</v>
      </c>
      <c r="O8">
        <v>14.91</v>
      </c>
      <c r="P8">
        <v>27.2</v>
      </c>
      <c r="Q8">
        <v>61.1</v>
      </c>
    </row>
    <row r="9" spans="1:17" x14ac:dyDescent="0.2">
      <c r="A9" t="s">
        <v>25</v>
      </c>
      <c r="B9" t="s">
        <v>18</v>
      </c>
      <c r="C9">
        <v>2016</v>
      </c>
      <c r="D9" s="10">
        <v>4939042.568</v>
      </c>
      <c r="E9" s="10">
        <v>4173074.8080000002</v>
      </c>
      <c r="F9" s="10">
        <v>765967.76</v>
      </c>
      <c r="G9" s="8">
        <v>509.5</v>
      </c>
      <c r="H9" s="8">
        <v>757</v>
      </c>
      <c r="I9" s="8">
        <v>1266.5</v>
      </c>
      <c r="J9" s="9">
        <v>12.21</v>
      </c>
      <c r="K9" s="9">
        <v>98.83</v>
      </c>
      <c r="L9" s="9">
        <v>25.64</v>
      </c>
      <c r="M9" s="9">
        <v>25.64</v>
      </c>
      <c r="N9">
        <v>84.49</v>
      </c>
      <c r="O9">
        <v>15.51</v>
      </c>
      <c r="P9">
        <v>25.7</v>
      </c>
      <c r="Q9">
        <v>63</v>
      </c>
    </row>
    <row r="10" spans="1:17" x14ac:dyDescent="0.2">
      <c r="A10" t="s">
        <v>26</v>
      </c>
      <c r="B10" t="s">
        <v>18</v>
      </c>
      <c r="C10">
        <v>2017</v>
      </c>
      <c r="D10" s="10">
        <v>4761712</v>
      </c>
      <c r="E10" s="10">
        <v>4010307</v>
      </c>
      <c r="F10" s="10">
        <v>751405</v>
      </c>
      <c r="G10" s="8">
        <v>500</v>
      </c>
      <c r="H10" s="8">
        <v>940</v>
      </c>
      <c r="I10" s="8">
        <v>1440</v>
      </c>
      <c r="J10" s="9">
        <v>12.47</v>
      </c>
      <c r="K10" s="9">
        <v>125.1</v>
      </c>
      <c r="L10" s="9">
        <v>30.24</v>
      </c>
      <c r="M10" s="9">
        <v>30.24</v>
      </c>
      <c r="N10">
        <v>84.22</v>
      </c>
      <c r="O10">
        <v>15.78</v>
      </c>
      <c r="P10">
        <v>24.3</v>
      </c>
    </row>
    <row r="11" spans="1:17" x14ac:dyDescent="0.2">
      <c r="A11" t="s">
        <v>27</v>
      </c>
      <c r="B11" t="s">
        <v>28</v>
      </c>
      <c r="C11">
        <v>2009</v>
      </c>
      <c r="D11" s="10">
        <v>735043.20499999996</v>
      </c>
      <c r="E11" s="10">
        <v>680233.96200000006</v>
      </c>
      <c r="F11" s="10">
        <v>54809.243000000002</v>
      </c>
      <c r="G11" s="8">
        <v>432</v>
      </c>
      <c r="H11" s="8">
        <v>162</v>
      </c>
      <c r="I11" s="8">
        <v>594</v>
      </c>
      <c r="J11" s="9">
        <v>63.51</v>
      </c>
      <c r="K11" s="9">
        <v>295.57</v>
      </c>
      <c r="L11" s="9">
        <v>80.81</v>
      </c>
      <c r="M11" s="9">
        <v>80.81</v>
      </c>
      <c r="N11">
        <v>92.54</v>
      </c>
      <c r="O11">
        <v>7.46</v>
      </c>
      <c r="Q11">
        <v>62.6</v>
      </c>
    </row>
    <row r="12" spans="1:17" x14ac:dyDescent="0.2">
      <c r="A12" t="s">
        <v>29</v>
      </c>
      <c r="B12" t="s">
        <v>28</v>
      </c>
      <c r="C12">
        <v>2010</v>
      </c>
      <c r="D12" s="11">
        <v>702619.75</v>
      </c>
      <c r="E12" s="11">
        <v>648359.84</v>
      </c>
      <c r="F12" s="10">
        <v>54259.91</v>
      </c>
      <c r="G12" s="8">
        <v>432</v>
      </c>
      <c r="H12" s="8">
        <v>162</v>
      </c>
      <c r="I12" s="8">
        <v>594</v>
      </c>
      <c r="J12" s="9">
        <v>66.63</v>
      </c>
      <c r="K12" s="9">
        <v>298.56</v>
      </c>
      <c r="L12" s="9">
        <v>84.54</v>
      </c>
      <c r="M12" s="9">
        <v>84.54</v>
      </c>
      <c r="N12">
        <v>92.28</v>
      </c>
      <c r="O12">
        <v>7.72</v>
      </c>
      <c r="P12">
        <v>28.4</v>
      </c>
      <c r="Q12">
        <v>55.1</v>
      </c>
    </row>
    <row r="13" spans="1:17" x14ac:dyDescent="0.2">
      <c r="A13" t="s">
        <v>30</v>
      </c>
      <c r="B13" t="s">
        <v>28</v>
      </c>
      <c r="C13">
        <v>2011</v>
      </c>
      <c r="D13" s="10">
        <v>677613.16200000001</v>
      </c>
      <c r="E13" s="11">
        <v>624306.16099999996</v>
      </c>
      <c r="F13" s="10">
        <v>53307.000999999997</v>
      </c>
      <c r="G13" s="8">
        <v>432</v>
      </c>
      <c r="H13" s="8">
        <v>162</v>
      </c>
      <c r="I13" s="8">
        <v>594</v>
      </c>
      <c r="J13" s="9">
        <v>69.2</v>
      </c>
      <c r="K13" s="9">
        <v>303.89999999999998</v>
      </c>
      <c r="L13" s="9">
        <v>87.66</v>
      </c>
      <c r="M13" s="9">
        <v>87.66</v>
      </c>
      <c r="N13">
        <v>92.13</v>
      </c>
      <c r="O13">
        <v>7.87</v>
      </c>
      <c r="P13">
        <v>26.8</v>
      </c>
      <c r="Q13">
        <v>49.5</v>
      </c>
    </row>
    <row r="14" spans="1:17" x14ac:dyDescent="0.2">
      <c r="A14" t="s">
        <v>31</v>
      </c>
      <c r="B14" t="s">
        <v>28</v>
      </c>
      <c r="C14">
        <v>2012</v>
      </c>
      <c r="D14" s="10">
        <v>675844.54700000002</v>
      </c>
      <c r="E14" s="10">
        <v>622588.28399999999</v>
      </c>
      <c r="F14" s="10">
        <v>53256.262999999999</v>
      </c>
      <c r="G14" s="8">
        <v>432</v>
      </c>
      <c r="H14" s="8">
        <v>162</v>
      </c>
      <c r="I14" s="8">
        <v>594</v>
      </c>
      <c r="J14" s="9">
        <v>69.39</v>
      </c>
      <c r="K14" s="9">
        <v>304.19</v>
      </c>
      <c r="L14" s="9">
        <v>87.89</v>
      </c>
      <c r="M14" s="9">
        <v>87.89</v>
      </c>
      <c r="N14">
        <v>92.12</v>
      </c>
      <c r="O14">
        <v>7.88</v>
      </c>
      <c r="P14">
        <v>29.7</v>
      </c>
      <c r="Q14">
        <v>56</v>
      </c>
    </row>
    <row r="15" spans="1:17" x14ac:dyDescent="0.2">
      <c r="A15" t="s">
        <v>32</v>
      </c>
      <c r="B15" t="s">
        <v>28</v>
      </c>
      <c r="C15">
        <v>2013</v>
      </c>
      <c r="D15" s="10">
        <v>724143.804</v>
      </c>
      <c r="E15" s="11">
        <v>661008.99699999997</v>
      </c>
      <c r="F15" s="10">
        <v>63134.807000000001</v>
      </c>
      <c r="G15" s="8">
        <v>432</v>
      </c>
      <c r="H15" s="8">
        <v>162</v>
      </c>
      <c r="I15" s="8">
        <v>594</v>
      </c>
      <c r="J15" s="9">
        <v>65.349999999999994</v>
      </c>
      <c r="K15" s="9">
        <v>256.58999999999997</v>
      </c>
      <c r="L15" s="9">
        <v>82.03</v>
      </c>
      <c r="M15" s="9">
        <v>82.03</v>
      </c>
      <c r="N15">
        <v>91.28</v>
      </c>
      <c r="O15">
        <v>8.7200000000000006</v>
      </c>
      <c r="P15">
        <v>30.3</v>
      </c>
      <c r="Q15">
        <v>54.3</v>
      </c>
    </row>
    <row r="16" spans="1:17" x14ac:dyDescent="0.2">
      <c r="A16" t="s">
        <v>33</v>
      </c>
      <c r="B16" t="s">
        <v>28</v>
      </c>
      <c r="C16">
        <v>2014</v>
      </c>
      <c r="D16" s="10">
        <v>647868.79399999999</v>
      </c>
      <c r="E16" s="10">
        <v>589629.27800000005</v>
      </c>
      <c r="F16" s="10">
        <v>58239.516000000003</v>
      </c>
      <c r="G16" s="8">
        <v>432</v>
      </c>
      <c r="H16" s="8">
        <v>162</v>
      </c>
      <c r="I16" s="8">
        <v>594</v>
      </c>
      <c r="J16" s="9">
        <v>73.27</v>
      </c>
      <c r="K16" s="9">
        <v>278.16000000000003</v>
      </c>
      <c r="L16" s="9">
        <v>91.69</v>
      </c>
      <c r="M16" s="9">
        <v>91.69</v>
      </c>
      <c r="N16">
        <v>91.01</v>
      </c>
      <c r="O16">
        <v>8.99</v>
      </c>
      <c r="P16">
        <v>29.3</v>
      </c>
      <c r="Q16">
        <v>57.5</v>
      </c>
    </row>
    <row r="17" spans="1:17" x14ac:dyDescent="0.2">
      <c r="A17" t="s">
        <v>34</v>
      </c>
      <c r="B17" t="s">
        <v>28</v>
      </c>
      <c r="C17">
        <v>2015</v>
      </c>
      <c r="D17" s="10">
        <v>705216.95900000003</v>
      </c>
      <c r="E17" s="10">
        <v>636479.33100000001</v>
      </c>
      <c r="F17" s="10">
        <v>68737.627999999997</v>
      </c>
      <c r="G17" s="8">
        <v>432</v>
      </c>
      <c r="H17" s="8">
        <v>162</v>
      </c>
      <c r="I17" s="8">
        <v>594</v>
      </c>
      <c r="J17" s="9">
        <v>67.87</v>
      </c>
      <c r="K17" s="9">
        <v>235.68</v>
      </c>
      <c r="L17" s="9">
        <v>84.23</v>
      </c>
      <c r="M17" s="9">
        <v>84.23</v>
      </c>
      <c r="N17">
        <v>90.25</v>
      </c>
      <c r="O17">
        <v>9.75</v>
      </c>
      <c r="P17">
        <v>27</v>
      </c>
      <c r="Q17">
        <v>51.5</v>
      </c>
    </row>
    <row r="18" spans="1:17" x14ac:dyDescent="0.2">
      <c r="A18" t="s">
        <v>35</v>
      </c>
      <c r="B18" t="s">
        <v>28</v>
      </c>
      <c r="C18">
        <v>2016</v>
      </c>
      <c r="D18" s="11">
        <v>728136.76</v>
      </c>
      <c r="E18" s="10">
        <v>651876.82200000004</v>
      </c>
      <c r="F18" s="10">
        <v>76259.937999999995</v>
      </c>
      <c r="G18" s="8">
        <v>432</v>
      </c>
      <c r="H18" s="8">
        <v>162</v>
      </c>
      <c r="I18" s="8">
        <v>594</v>
      </c>
      <c r="J18" s="9">
        <v>66.27</v>
      </c>
      <c r="K18" s="9">
        <v>212.43</v>
      </c>
      <c r="L18" s="9">
        <v>81.58</v>
      </c>
      <c r="M18" s="9">
        <v>81.58</v>
      </c>
      <c r="N18">
        <v>89.53</v>
      </c>
      <c r="O18">
        <v>10.47</v>
      </c>
      <c r="P18">
        <v>27.9</v>
      </c>
      <c r="Q18">
        <v>55.6</v>
      </c>
    </row>
    <row r="19" spans="1:17" x14ac:dyDescent="0.2">
      <c r="A19" t="s">
        <v>36</v>
      </c>
      <c r="B19" t="s">
        <v>28</v>
      </c>
      <c r="C19">
        <v>2017</v>
      </c>
      <c r="D19" s="10">
        <v>731616</v>
      </c>
      <c r="E19" s="10">
        <v>651681</v>
      </c>
      <c r="F19" s="10">
        <v>79935</v>
      </c>
      <c r="G19" s="8">
        <v>432</v>
      </c>
      <c r="H19" s="8">
        <v>162</v>
      </c>
      <c r="I19" s="8">
        <v>594</v>
      </c>
      <c r="J19" s="9">
        <v>66.290000000000006</v>
      </c>
      <c r="K19" s="9">
        <v>202.66</v>
      </c>
      <c r="L19" s="9">
        <v>81.19</v>
      </c>
      <c r="M19" s="9">
        <v>81.19</v>
      </c>
      <c r="N19">
        <v>89.07</v>
      </c>
      <c r="O19">
        <v>10.93</v>
      </c>
      <c r="P19">
        <v>27.4</v>
      </c>
    </row>
    <row r="20" spans="1:17" x14ac:dyDescent="0.2">
      <c r="A20" t="s">
        <v>37</v>
      </c>
      <c r="B20" t="s">
        <v>38</v>
      </c>
      <c r="C20">
        <v>2009</v>
      </c>
      <c r="D20" s="10">
        <v>6322962.5080000004</v>
      </c>
      <c r="E20" s="10">
        <v>5508902.5250000004</v>
      </c>
      <c r="F20" s="10">
        <v>814059.98300000001</v>
      </c>
      <c r="G20" s="8">
        <v>478.5</v>
      </c>
      <c r="H20" s="8">
        <v>788</v>
      </c>
      <c r="I20" s="8">
        <v>1266.5</v>
      </c>
      <c r="J20" s="9">
        <v>8.69</v>
      </c>
      <c r="K20" s="9">
        <v>96.8</v>
      </c>
      <c r="L20" s="9">
        <v>20.03</v>
      </c>
      <c r="M20" s="9">
        <v>20.03</v>
      </c>
      <c r="N20">
        <v>87.13</v>
      </c>
      <c r="O20">
        <v>12.87</v>
      </c>
      <c r="Q20">
        <v>71.7</v>
      </c>
    </row>
    <row r="21" spans="1:17" x14ac:dyDescent="0.2">
      <c r="A21" t="s">
        <v>39</v>
      </c>
      <c r="B21" t="s">
        <v>38</v>
      </c>
      <c r="C21">
        <v>2010</v>
      </c>
      <c r="D21" s="10">
        <v>6279566.2740000002</v>
      </c>
      <c r="E21" s="10">
        <v>5441128.7070000004</v>
      </c>
      <c r="F21" s="11">
        <v>838437.56699999899</v>
      </c>
      <c r="G21" s="8">
        <v>449</v>
      </c>
      <c r="H21" s="8">
        <v>596</v>
      </c>
      <c r="I21" s="8">
        <v>1045</v>
      </c>
      <c r="J21" s="9">
        <v>8.25</v>
      </c>
      <c r="K21" s="9">
        <v>71.08</v>
      </c>
      <c r="L21" s="9">
        <v>16.64</v>
      </c>
      <c r="M21" s="9">
        <v>16.64</v>
      </c>
      <c r="N21">
        <v>86.65</v>
      </c>
      <c r="O21">
        <v>13.35</v>
      </c>
      <c r="P21">
        <v>31.3</v>
      </c>
      <c r="Q21">
        <v>64.3</v>
      </c>
    </row>
    <row r="22" spans="1:17" x14ac:dyDescent="0.2">
      <c r="A22" t="s">
        <v>40</v>
      </c>
      <c r="B22" t="s">
        <v>38</v>
      </c>
      <c r="C22">
        <v>2011</v>
      </c>
      <c r="D22" s="10">
        <v>6299556.415</v>
      </c>
      <c r="E22" s="10">
        <v>5439685.4230000004</v>
      </c>
      <c r="F22" s="10">
        <v>859870.99199999997</v>
      </c>
      <c r="G22" s="8">
        <v>437.5</v>
      </c>
      <c r="H22" s="8">
        <v>558</v>
      </c>
      <c r="I22" s="8">
        <v>995.5</v>
      </c>
      <c r="J22" s="9">
        <v>8.0399999999999991</v>
      </c>
      <c r="K22" s="9">
        <v>64.89</v>
      </c>
      <c r="L22" s="9">
        <v>15.8</v>
      </c>
      <c r="M22" s="9">
        <v>15.8</v>
      </c>
      <c r="N22">
        <v>86.35</v>
      </c>
      <c r="O22">
        <v>13.65</v>
      </c>
      <c r="P22">
        <v>25.7</v>
      </c>
      <c r="Q22">
        <v>58.1</v>
      </c>
    </row>
    <row r="23" spans="1:17" x14ac:dyDescent="0.2">
      <c r="A23" t="s">
        <v>41</v>
      </c>
      <c r="B23" t="s">
        <v>38</v>
      </c>
      <c r="C23">
        <v>2012</v>
      </c>
      <c r="D23" s="11">
        <v>6453908.0669999998</v>
      </c>
      <c r="E23" s="10">
        <v>5558974.7869999995</v>
      </c>
      <c r="F23" s="10">
        <v>894933.28</v>
      </c>
      <c r="G23" s="8">
        <v>438.5</v>
      </c>
      <c r="H23" s="8">
        <v>552</v>
      </c>
      <c r="I23" s="8">
        <v>990.5</v>
      </c>
      <c r="J23" s="9">
        <v>7.89</v>
      </c>
      <c r="K23" s="9">
        <v>61.68</v>
      </c>
      <c r="L23" s="9">
        <v>15.35</v>
      </c>
      <c r="M23" s="9">
        <v>15.35</v>
      </c>
      <c r="N23">
        <v>86.13</v>
      </c>
      <c r="O23">
        <v>13.87</v>
      </c>
      <c r="P23">
        <v>25.7</v>
      </c>
      <c r="Q23">
        <v>65.5</v>
      </c>
    </row>
    <row r="24" spans="1:17" x14ac:dyDescent="0.2">
      <c r="A24" t="s">
        <v>42</v>
      </c>
      <c r="B24" t="s">
        <v>38</v>
      </c>
      <c r="C24">
        <v>2013</v>
      </c>
      <c r="D24" s="11">
        <v>6516483.27399999</v>
      </c>
      <c r="E24" s="10">
        <v>5583920.7640000004</v>
      </c>
      <c r="F24" s="10">
        <v>932562.51</v>
      </c>
      <c r="G24" s="8">
        <v>437.5</v>
      </c>
      <c r="H24" s="8">
        <v>628</v>
      </c>
      <c r="I24" s="8">
        <v>1065.5</v>
      </c>
      <c r="J24" s="9">
        <v>7.83</v>
      </c>
      <c r="K24" s="9">
        <v>67.34</v>
      </c>
      <c r="L24" s="9">
        <v>16.350000000000001</v>
      </c>
      <c r="M24" s="9">
        <v>16.350000000000001</v>
      </c>
      <c r="N24">
        <v>85.69</v>
      </c>
      <c r="O24">
        <v>14.31</v>
      </c>
      <c r="P24">
        <v>22.8</v>
      </c>
      <c r="Q24">
        <v>60.5</v>
      </c>
    </row>
    <row r="25" spans="1:17" x14ac:dyDescent="0.2">
      <c r="A25" t="s">
        <v>43</v>
      </c>
      <c r="B25" t="s">
        <v>38</v>
      </c>
      <c r="C25">
        <v>2014</v>
      </c>
      <c r="D25" s="10">
        <v>6548459.1629999997</v>
      </c>
      <c r="E25" s="10">
        <v>5577447.9630000005</v>
      </c>
      <c r="F25" s="10">
        <v>971011.2</v>
      </c>
      <c r="G25" s="8">
        <v>472</v>
      </c>
      <c r="H25" s="8">
        <v>584.5</v>
      </c>
      <c r="I25" s="8">
        <v>1056.5</v>
      </c>
      <c r="J25" s="9">
        <v>8.4600000000000009</v>
      </c>
      <c r="K25" s="9">
        <v>60.19</v>
      </c>
      <c r="L25" s="9">
        <v>16.13</v>
      </c>
      <c r="M25" s="9">
        <v>16.13</v>
      </c>
      <c r="N25">
        <v>85.17</v>
      </c>
      <c r="O25">
        <v>14.83</v>
      </c>
      <c r="P25">
        <v>25.3</v>
      </c>
      <c r="Q25">
        <v>62.4</v>
      </c>
    </row>
    <row r="26" spans="1:17" x14ac:dyDescent="0.2">
      <c r="A26" t="s">
        <v>44</v>
      </c>
      <c r="B26" t="s">
        <v>38</v>
      </c>
      <c r="C26">
        <v>2015</v>
      </c>
      <c r="D26" s="10">
        <v>6533150.3739999998</v>
      </c>
      <c r="E26" s="10">
        <v>5523563.6129999999</v>
      </c>
      <c r="F26" s="10">
        <v>1009586.7610000001</v>
      </c>
      <c r="G26" s="8">
        <v>439.5</v>
      </c>
      <c r="H26" s="8">
        <v>632</v>
      </c>
      <c r="I26" s="8">
        <v>1071.5</v>
      </c>
      <c r="J26" s="9">
        <v>7.96</v>
      </c>
      <c r="K26" s="9">
        <v>62.6</v>
      </c>
      <c r="L26" s="9">
        <v>16.399999999999999</v>
      </c>
      <c r="M26" s="9">
        <v>16.399999999999999</v>
      </c>
      <c r="N26">
        <v>84.55</v>
      </c>
      <c r="O26">
        <v>15.45</v>
      </c>
      <c r="P26">
        <v>25.9</v>
      </c>
      <c r="Q26">
        <v>59.4</v>
      </c>
    </row>
    <row r="27" spans="1:17" x14ac:dyDescent="0.2">
      <c r="A27" t="s">
        <v>45</v>
      </c>
      <c r="B27" t="s">
        <v>38</v>
      </c>
      <c r="C27">
        <v>2016</v>
      </c>
      <c r="D27" s="10">
        <v>6547976.5120000001</v>
      </c>
      <c r="E27" s="10">
        <v>5536113.8629999999</v>
      </c>
      <c r="F27" s="10">
        <v>1011862.649</v>
      </c>
      <c r="G27" s="8">
        <v>502.5</v>
      </c>
      <c r="H27" s="8">
        <v>667</v>
      </c>
      <c r="I27" s="8">
        <v>1169.5</v>
      </c>
      <c r="J27" s="9">
        <v>9.08</v>
      </c>
      <c r="K27" s="9">
        <v>65.92</v>
      </c>
      <c r="L27" s="9">
        <v>17.86</v>
      </c>
      <c r="M27" s="9">
        <v>17.86</v>
      </c>
      <c r="N27">
        <v>84.55</v>
      </c>
      <c r="O27">
        <v>15.45</v>
      </c>
      <c r="P27">
        <v>26.7</v>
      </c>
      <c r="Q27">
        <v>60.8</v>
      </c>
    </row>
    <row r="28" spans="1:17" x14ac:dyDescent="0.2">
      <c r="A28" t="s">
        <v>46</v>
      </c>
      <c r="B28" t="s">
        <v>38</v>
      </c>
      <c r="C28">
        <v>2017</v>
      </c>
      <c r="D28" s="10">
        <v>6742401</v>
      </c>
      <c r="E28" s="10">
        <v>5649633</v>
      </c>
      <c r="F28" s="10">
        <v>1092768</v>
      </c>
      <c r="G28" s="8">
        <v>453</v>
      </c>
      <c r="H28" s="8">
        <v>693</v>
      </c>
      <c r="I28" s="8">
        <v>1146</v>
      </c>
      <c r="J28" s="9">
        <v>8.02</v>
      </c>
      <c r="K28" s="9">
        <v>63.42</v>
      </c>
      <c r="L28" s="9">
        <v>17</v>
      </c>
      <c r="M28" s="9">
        <v>17</v>
      </c>
      <c r="N28">
        <v>83.79</v>
      </c>
      <c r="O28">
        <v>16.21</v>
      </c>
      <c r="P28">
        <v>21.6</v>
      </c>
    </row>
    <row r="29" spans="1:17" x14ac:dyDescent="0.2">
      <c r="A29" t="s">
        <v>47</v>
      </c>
      <c r="B29" t="s">
        <v>48</v>
      </c>
      <c r="C29">
        <v>2009</v>
      </c>
      <c r="D29" s="10">
        <v>2845308.5060000001</v>
      </c>
      <c r="E29" s="10">
        <v>2445092.196</v>
      </c>
      <c r="F29" s="10">
        <v>400216.31</v>
      </c>
      <c r="G29" s="8">
        <v>437.5</v>
      </c>
      <c r="H29" s="8">
        <v>547.5</v>
      </c>
      <c r="I29" s="8">
        <v>985</v>
      </c>
      <c r="J29" s="9">
        <v>17.89</v>
      </c>
      <c r="K29" s="9">
        <v>136.80000000000001</v>
      </c>
      <c r="L29" s="9">
        <v>34.619999999999997</v>
      </c>
      <c r="M29" s="9">
        <v>34.619999999999997</v>
      </c>
      <c r="N29">
        <v>85.93</v>
      </c>
      <c r="O29">
        <v>14.07</v>
      </c>
      <c r="Q29">
        <v>75.400000000000006</v>
      </c>
    </row>
    <row r="30" spans="1:17" x14ac:dyDescent="0.2">
      <c r="A30" t="s">
        <v>49</v>
      </c>
      <c r="B30" t="s">
        <v>48</v>
      </c>
      <c r="C30">
        <v>2010</v>
      </c>
      <c r="D30" s="10">
        <v>3041711.7910000002</v>
      </c>
      <c r="E30" s="10">
        <v>2605607.3530000001</v>
      </c>
      <c r="F30" s="10">
        <v>436104.43800000002</v>
      </c>
      <c r="G30" s="8">
        <v>432</v>
      </c>
      <c r="H30" s="8">
        <v>516</v>
      </c>
      <c r="I30" s="8">
        <v>948</v>
      </c>
      <c r="J30" s="9">
        <v>16.579999999999998</v>
      </c>
      <c r="K30" s="9">
        <v>118.32</v>
      </c>
      <c r="L30" s="9">
        <v>31.17</v>
      </c>
      <c r="M30" s="9">
        <v>31.17</v>
      </c>
      <c r="N30">
        <v>85.66</v>
      </c>
      <c r="O30">
        <v>14.34</v>
      </c>
      <c r="P30">
        <v>30.9</v>
      </c>
      <c r="Q30">
        <v>63.9</v>
      </c>
    </row>
    <row r="31" spans="1:17" x14ac:dyDescent="0.2">
      <c r="A31" t="s">
        <v>50</v>
      </c>
      <c r="B31" t="s">
        <v>48</v>
      </c>
      <c r="C31">
        <v>2011</v>
      </c>
      <c r="D31" s="10">
        <v>2970524.949</v>
      </c>
      <c r="E31" s="10">
        <v>2546497.9550000001</v>
      </c>
      <c r="F31" s="10">
        <v>424026.99400000001</v>
      </c>
      <c r="G31" s="8">
        <v>438.5</v>
      </c>
      <c r="H31" s="8">
        <v>608</v>
      </c>
      <c r="I31" s="8">
        <v>1046.5</v>
      </c>
      <c r="J31" s="9">
        <v>17.22</v>
      </c>
      <c r="K31" s="9">
        <v>143.38999999999999</v>
      </c>
      <c r="L31" s="9">
        <v>35.229999999999997</v>
      </c>
      <c r="M31" s="9">
        <v>35.229999999999997</v>
      </c>
      <c r="N31">
        <v>85.73</v>
      </c>
      <c r="O31">
        <v>14.27</v>
      </c>
      <c r="P31">
        <v>33.1</v>
      </c>
      <c r="Q31">
        <v>64.099999999999994</v>
      </c>
    </row>
    <row r="32" spans="1:17" x14ac:dyDescent="0.2">
      <c r="A32" t="s">
        <v>51</v>
      </c>
      <c r="B32" t="s">
        <v>48</v>
      </c>
      <c r="C32">
        <v>2012</v>
      </c>
      <c r="D32" s="10">
        <v>3063052.912</v>
      </c>
      <c r="E32" s="11">
        <v>2614284.7969999998</v>
      </c>
      <c r="F32" s="10">
        <v>448768.11499999999</v>
      </c>
      <c r="G32" s="8">
        <v>437.5</v>
      </c>
      <c r="H32" s="8">
        <v>590</v>
      </c>
      <c r="I32" s="8">
        <v>1027.5</v>
      </c>
      <c r="J32" s="9">
        <v>16.73</v>
      </c>
      <c r="K32" s="9">
        <v>131.47</v>
      </c>
      <c r="L32" s="9">
        <v>33.54</v>
      </c>
      <c r="M32" s="9">
        <v>33.54</v>
      </c>
      <c r="N32">
        <v>85.35</v>
      </c>
      <c r="O32">
        <v>14.65</v>
      </c>
      <c r="P32">
        <v>32.799999999999997</v>
      </c>
      <c r="Q32">
        <v>62.6</v>
      </c>
    </row>
    <row r="33" spans="1:17" x14ac:dyDescent="0.2">
      <c r="A33" t="s">
        <v>52</v>
      </c>
      <c r="B33" t="s">
        <v>48</v>
      </c>
      <c r="C33">
        <v>2013</v>
      </c>
      <c r="D33" s="10">
        <v>3038893.9929999998</v>
      </c>
      <c r="E33" s="10">
        <v>2593175.8139999998</v>
      </c>
      <c r="F33" s="10">
        <v>445718.179</v>
      </c>
      <c r="G33" s="8">
        <v>432</v>
      </c>
      <c r="H33" s="8">
        <v>650.5</v>
      </c>
      <c r="I33" s="8">
        <v>1082.5</v>
      </c>
      <c r="J33" s="9">
        <v>16.66</v>
      </c>
      <c r="K33" s="9">
        <v>145.94</v>
      </c>
      <c r="L33" s="9">
        <v>35.619999999999997</v>
      </c>
      <c r="M33" s="9">
        <v>35.619999999999997</v>
      </c>
      <c r="N33">
        <v>85.33</v>
      </c>
      <c r="O33">
        <v>14.67</v>
      </c>
      <c r="P33">
        <v>30.5</v>
      </c>
      <c r="Q33">
        <v>66.599999999999994</v>
      </c>
    </row>
    <row r="34" spans="1:17" x14ac:dyDescent="0.2">
      <c r="A34" t="s">
        <v>53</v>
      </c>
      <c r="B34" t="s">
        <v>48</v>
      </c>
      <c r="C34">
        <v>2014</v>
      </c>
      <c r="D34" s="10">
        <v>2953583.7659999998</v>
      </c>
      <c r="E34" s="10">
        <v>2517489.551</v>
      </c>
      <c r="F34" s="10">
        <v>436094.21500000003</v>
      </c>
      <c r="G34" s="8">
        <v>461.5</v>
      </c>
      <c r="H34" s="8">
        <v>530</v>
      </c>
      <c r="I34" s="8">
        <v>991.5</v>
      </c>
      <c r="J34" s="9">
        <v>18.329999999999998</v>
      </c>
      <c r="K34" s="9">
        <v>121.53</v>
      </c>
      <c r="L34" s="9">
        <v>33.57</v>
      </c>
      <c r="M34" s="9">
        <v>33.57</v>
      </c>
      <c r="N34">
        <v>85.24</v>
      </c>
      <c r="O34">
        <v>14.76</v>
      </c>
      <c r="P34">
        <v>30.3</v>
      </c>
      <c r="Q34">
        <v>69.599999999999994</v>
      </c>
    </row>
    <row r="35" spans="1:17" x14ac:dyDescent="0.2">
      <c r="A35" t="s">
        <v>54</v>
      </c>
      <c r="B35" t="s">
        <v>48</v>
      </c>
      <c r="C35">
        <v>2015</v>
      </c>
      <c r="D35" s="11">
        <v>3099489.1719999998</v>
      </c>
      <c r="E35" s="10">
        <v>2617501.0520000001</v>
      </c>
      <c r="F35" s="10">
        <v>481988.12</v>
      </c>
      <c r="G35" s="8">
        <v>432</v>
      </c>
      <c r="H35" s="8">
        <v>552.5</v>
      </c>
      <c r="I35" s="8">
        <v>984.5</v>
      </c>
      <c r="J35" s="9">
        <v>16.5</v>
      </c>
      <c r="K35" s="9">
        <v>114.63</v>
      </c>
      <c r="L35" s="9">
        <v>31.76</v>
      </c>
      <c r="M35" s="9">
        <v>31.76</v>
      </c>
      <c r="N35">
        <v>84.45</v>
      </c>
      <c r="O35">
        <v>15.55</v>
      </c>
      <c r="P35">
        <v>28.5</v>
      </c>
      <c r="Q35">
        <v>59.1</v>
      </c>
    </row>
    <row r="36" spans="1:17" x14ac:dyDescent="0.2">
      <c r="A36" t="s">
        <v>55</v>
      </c>
      <c r="B36" t="s">
        <v>48</v>
      </c>
      <c r="C36">
        <v>2016</v>
      </c>
      <c r="D36" s="10">
        <v>3082014.0989999999</v>
      </c>
      <c r="E36" s="10">
        <v>2601757.3659999999</v>
      </c>
      <c r="F36" s="10">
        <v>480256.73300000001</v>
      </c>
      <c r="G36" s="8">
        <v>432</v>
      </c>
      <c r="H36" s="8">
        <v>518</v>
      </c>
      <c r="I36" s="8">
        <v>950</v>
      </c>
      <c r="J36" s="9">
        <v>16.600000000000001</v>
      </c>
      <c r="K36" s="9">
        <v>107.86</v>
      </c>
      <c r="L36" s="9">
        <v>30.82</v>
      </c>
      <c r="M36" s="9">
        <v>30.82</v>
      </c>
      <c r="N36">
        <v>84.42</v>
      </c>
      <c r="O36">
        <v>15.58</v>
      </c>
      <c r="P36">
        <v>30</v>
      </c>
      <c r="Q36">
        <v>62.8</v>
      </c>
    </row>
    <row r="37" spans="1:17" x14ac:dyDescent="0.2">
      <c r="A37" t="s">
        <v>56</v>
      </c>
      <c r="B37" t="s">
        <v>48</v>
      </c>
      <c r="C37">
        <v>2017</v>
      </c>
      <c r="D37" s="10">
        <v>3144162</v>
      </c>
      <c r="E37" s="10">
        <v>2648828</v>
      </c>
      <c r="F37" s="10">
        <v>495334</v>
      </c>
      <c r="G37" s="8">
        <v>438.5</v>
      </c>
      <c r="H37" s="8">
        <v>576</v>
      </c>
      <c r="I37" s="8">
        <v>1014.5</v>
      </c>
      <c r="J37" s="9">
        <v>16.55</v>
      </c>
      <c r="K37" s="9">
        <v>116.29</v>
      </c>
      <c r="L37" s="9">
        <v>32.270000000000003</v>
      </c>
      <c r="M37" s="9">
        <v>32.270000000000003</v>
      </c>
      <c r="N37">
        <v>84.25</v>
      </c>
      <c r="O37">
        <v>15.75</v>
      </c>
      <c r="P37">
        <v>23.4</v>
      </c>
    </row>
    <row r="38" spans="1:17" x14ac:dyDescent="0.2">
      <c r="A38" t="s">
        <v>57</v>
      </c>
      <c r="B38" t="s">
        <v>58</v>
      </c>
      <c r="C38">
        <v>2009</v>
      </c>
      <c r="D38" s="10">
        <v>36365426.042000003</v>
      </c>
      <c r="E38" s="11">
        <v>32389754.631999999</v>
      </c>
      <c r="F38" s="10">
        <v>3975671.41</v>
      </c>
      <c r="G38" s="8">
        <v>1311.5</v>
      </c>
      <c r="H38" s="8">
        <v>5197</v>
      </c>
      <c r="I38" s="8">
        <v>6508.5</v>
      </c>
      <c r="J38" s="9">
        <v>4.05</v>
      </c>
      <c r="K38" s="9">
        <v>130.72</v>
      </c>
      <c r="L38" s="9">
        <v>17.899999999999999</v>
      </c>
      <c r="M38" s="9">
        <v>17.899999999999999</v>
      </c>
      <c r="N38">
        <v>89.07</v>
      </c>
      <c r="O38">
        <v>10.93</v>
      </c>
      <c r="Q38">
        <v>71.8</v>
      </c>
    </row>
    <row r="39" spans="1:17" x14ac:dyDescent="0.2">
      <c r="A39" t="s">
        <v>59</v>
      </c>
      <c r="B39" t="s">
        <v>58</v>
      </c>
      <c r="C39">
        <v>2010</v>
      </c>
      <c r="D39" s="10">
        <v>36400455.368000001</v>
      </c>
      <c r="E39" s="10">
        <v>32379711.412</v>
      </c>
      <c r="F39" s="10">
        <v>4020743.9559999998</v>
      </c>
      <c r="G39" s="8">
        <v>836</v>
      </c>
      <c r="H39" s="8">
        <v>5229</v>
      </c>
      <c r="I39" s="8">
        <v>6065</v>
      </c>
      <c r="J39" s="9">
        <v>2.58</v>
      </c>
      <c r="K39" s="9">
        <v>130.05000000000001</v>
      </c>
      <c r="L39" s="9">
        <v>16.66</v>
      </c>
      <c r="M39" s="9">
        <v>16.66</v>
      </c>
      <c r="N39">
        <v>88.95</v>
      </c>
      <c r="O39">
        <v>11.05</v>
      </c>
      <c r="P39">
        <v>27.5</v>
      </c>
      <c r="Q39">
        <v>62.5</v>
      </c>
    </row>
    <row r="40" spans="1:17" x14ac:dyDescent="0.2">
      <c r="A40" t="s">
        <v>60</v>
      </c>
      <c r="B40" t="s">
        <v>58</v>
      </c>
      <c r="C40">
        <v>2011</v>
      </c>
      <c r="D40" s="10">
        <v>37023696.119999997</v>
      </c>
      <c r="E40" s="10">
        <v>32838531.204999998</v>
      </c>
      <c r="F40" s="10">
        <v>4185164.915</v>
      </c>
      <c r="G40" s="8">
        <v>1018.5</v>
      </c>
      <c r="H40" s="8">
        <v>5338</v>
      </c>
      <c r="I40" s="8">
        <v>6356.5</v>
      </c>
      <c r="J40" s="9">
        <v>3.1</v>
      </c>
      <c r="K40" s="9">
        <v>127.55</v>
      </c>
      <c r="L40" s="9">
        <v>17.170000000000002</v>
      </c>
      <c r="M40" s="9">
        <v>17.170000000000002</v>
      </c>
      <c r="N40">
        <v>88.7</v>
      </c>
      <c r="O40">
        <v>11.3</v>
      </c>
      <c r="P40">
        <v>27.6</v>
      </c>
      <c r="Q40">
        <v>60.7</v>
      </c>
    </row>
    <row r="41" spans="1:17" x14ac:dyDescent="0.2">
      <c r="A41" t="s">
        <v>61</v>
      </c>
      <c r="B41" t="s">
        <v>58</v>
      </c>
      <c r="C41">
        <v>2012</v>
      </c>
      <c r="D41" s="10">
        <v>37353124.316</v>
      </c>
      <c r="E41" s="10">
        <v>33037936.693999998</v>
      </c>
      <c r="F41" s="10">
        <v>4315187.6220000004</v>
      </c>
      <c r="G41" s="8">
        <v>900.5</v>
      </c>
      <c r="H41" s="8">
        <v>5119</v>
      </c>
      <c r="I41" s="8">
        <v>6019.5</v>
      </c>
      <c r="J41" s="9">
        <v>2.73</v>
      </c>
      <c r="K41" s="9">
        <v>118.63</v>
      </c>
      <c r="L41" s="9">
        <v>16.12</v>
      </c>
      <c r="M41" s="9">
        <v>16.12</v>
      </c>
      <c r="N41">
        <v>88.45</v>
      </c>
      <c r="O41">
        <v>11.55</v>
      </c>
      <c r="P41">
        <v>29.9</v>
      </c>
      <c r="Q41">
        <v>66.5</v>
      </c>
    </row>
    <row r="42" spans="1:17" x14ac:dyDescent="0.2">
      <c r="A42" t="s">
        <v>62</v>
      </c>
      <c r="B42" t="s">
        <v>58</v>
      </c>
      <c r="C42">
        <v>2013</v>
      </c>
      <c r="D42" s="10">
        <v>37634417.214000002</v>
      </c>
      <c r="E42" s="10">
        <v>33191090.136999998</v>
      </c>
      <c r="F42" s="11">
        <v>4443327.0769999996</v>
      </c>
      <c r="G42" s="8">
        <v>1021.5</v>
      </c>
      <c r="H42" s="8">
        <v>5694</v>
      </c>
      <c r="I42" s="8">
        <v>6715.5</v>
      </c>
      <c r="J42" s="9">
        <v>3.08</v>
      </c>
      <c r="K42" s="9">
        <v>128.15</v>
      </c>
      <c r="L42" s="9">
        <v>17.84</v>
      </c>
      <c r="M42" s="9">
        <v>17.84</v>
      </c>
      <c r="N42">
        <v>88.19</v>
      </c>
      <c r="O42">
        <v>11.81</v>
      </c>
      <c r="P42">
        <v>22.3</v>
      </c>
    </row>
    <row r="43" spans="1:17" x14ac:dyDescent="0.2">
      <c r="A43" t="s">
        <v>63</v>
      </c>
      <c r="B43" t="s">
        <v>58</v>
      </c>
      <c r="C43">
        <v>2014</v>
      </c>
      <c r="D43" s="10">
        <v>38101486.046999998</v>
      </c>
      <c r="E43" s="10">
        <v>33479940.355</v>
      </c>
      <c r="F43" s="10">
        <v>4621545.6919999998</v>
      </c>
      <c r="G43" s="8">
        <v>1267.5</v>
      </c>
      <c r="H43" s="8">
        <v>4888</v>
      </c>
      <c r="I43" s="8">
        <v>6155.5</v>
      </c>
      <c r="J43" s="9">
        <v>3.79</v>
      </c>
      <c r="K43" s="9">
        <v>105.77</v>
      </c>
      <c r="L43" s="9">
        <v>16.16</v>
      </c>
      <c r="M43" s="9">
        <v>16.16</v>
      </c>
      <c r="N43">
        <v>87.87</v>
      </c>
      <c r="O43">
        <v>12.13</v>
      </c>
      <c r="P43">
        <v>26.1</v>
      </c>
      <c r="Q43">
        <v>64.7</v>
      </c>
    </row>
    <row r="44" spans="1:17" x14ac:dyDescent="0.2">
      <c r="A44" t="s">
        <v>64</v>
      </c>
      <c r="B44" t="s">
        <v>58</v>
      </c>
      <c r="C44">
        <v>2015</v>
      </c>
      <c r="D44" s="10">
        <v>38666461.699000001</v>
      </c>
      <c r="E44" s="10">
        <v>33840956.848999999</v>
      </c>
      <c r="F44" s="10">
        <v>4825504.8499999996</v>
      </c>
      <c r="G44" s="8">
        <v>944</v>
      </c>
      <c r="H44" s="8">
        <v>5423</v>
      </c>
      <c r="I44" s="8">
        <v>6367</v>
      </c>
      <c r="J44" s="9">
        <v>2.79</v>
      </c>
      <c r="K44" s="9">
        <v>112.38</v>
      </c>
      <c r="L44" s="9">
        <v>16.47</v>
      </c>
      <c r="M44" s="9">
        <v>16.47</v>
      </c>
      <c r="N44">
        <v>87.52</v>
      </c>
      <c r="O44">
        <v>12.48</v>
      </c>
      <c r="P44">
        <v>26.3</v>
      </c>
      <c r="Q44">
        <v>61.1</v>
      </c>
    </row>
    <row r="45" spans="1:17" x14ac:dyDescent="0.2">
      <c r="A45" t="s">
        <v>65</v>
      </c>
      <c r="B45" t="s">
        <v>58</v>
      </c>
      <c r="C45">
        <v>2016</v>
      </c>
      <c r="D45" s="10">
        <v>38845197.412</v>
      </c>
      <c r="E45" s="11">
        <v>33838735.306999996</v>
      </c>
      <c r="F45" s="10">
        <v>5006462.1050000004</v>
      </c>
      <c r="G45" s="8">
        <v>1052.5</v>
      </c>
      <c r="H45" s="8">
        <v>5085</v>
      </c>
      <c r="I45" s="8">
        <v>6137.5</v>
      </c>
      <c r="J45" s="9">
        <v>3.11</v>
      </c>
      <c r="K45" s="9">
        <v>101.57</v>
      </c>
      <c r="L45" s="9">
        <v>15.8</v>
      </c>
      <c r="M45" s="9">
        <v>15.8</v>
      </c>
      <c r="N45">
        <v>87.11</v>
      </c>
      <c r="O45">
        <v>12.89</v>
      </c>
      <c r="P45">
        <v>30.5</v>
      </c>
      <c r="Q45">
        <v>66.2</v>
      </c>
    </row>
    <row r="46" spans="1:17" x14ac:dyDescent="0.2">
      <c r="A46" t="s">
        <v>66</v>
      </c>
      <c r="B46" t="s">
        <v>58</v>
      </c>
      <c r="C46">
        <v>2017</v>
      </c>
      <c r="D46" s="10">
        <v>38760119</v>
      </c>
      <c r="E46" s="10">
        <v>33645050</v>
      </c>
      <c r="F46" s="10">
        <v>5115069</v>
      </c>
      <c r="G46" s="8">
        <v>1011</v>
      </c>
      <c r="H46" s="8">
        <v>5510</v>
      </c>
      <c r="I46" s="8">
        <v>6521</v>
      </c>
      <c r="J46" s="9">
        <v>3</v>
      </c>
      <c r="K46" s="9">
        <v>107.72</v>
      </c>
      <c r="L46" s="9">
        <v>16.82</v>
      </c>
      <c r="M46" s="9">
        <v>16.82</v>
      </c>
      <c r="N46">
        <v>86.8</v>
      </c>
      <c r="O46">
        <v>13.2</v>
      </c>
      <c r="P46">
        <v>20.7</v>
      </c>
    </row>
    <row r="47" spans="1:17" x14ac:dyDescent="0.2">
      <c r="A47" t="s">
        <v>67</v>
      </c>
      <c r="B47" t="s">
        <v>68</v>
      </c>
      <c r="C47">
        <v>2009</v>
      </c>
      <c r="D47" s="10">
        <v>4863900.6260000002</v>
      </c>
      <c r="E47" s="10">
        <v>4363960.5750000002</v>
      </c>
      <c r="F47" s="10">
        <v>499940.05099999998</v>
      </c>
      <c r="G47" s="8">
        <v>457.5</v>
      </c>
      <c r="H47" s="8">
        <v>474</v>
      </c>
      <c r="I47" s="8">
        <v>931.5</v>
      </c>
      <c r="J47" s="9">
        <v>10.48</v>
      </c>
      <c r="K47" s="9">
        <v>94.81</v>
      </c>
      <c r="L47" s="9">
        <v>19.149999999999999</v>
      </c>
      <c r="M47" s="9">
        <v>19.149999999999999</v>
      </c>
      <c r="N47">
        <v>89.72</v>
      </c>
      <c r="O47">
        <v>10.28</v>
      </c>
      <c r="Q47">
        <v>76.900000000000006</v>
      </c>
    </row>
    <row r="48" spans="1:17" x14ac:dyDescent="0.2">
      <c r="A48" t="s">
        <v>69</v>
      </c>
      <c r="B48" t="s">
        <v>68</v>
      </c>
      <c r="C48">
        <v>2010</v>
      </c>
      <c r="D48" s="10">
        <v>4912740.591</v>
      </c>
      <c r="E48" s="10">
        <v>4391400.3760000002</v>
      </c>
      <c r="F48" s="10">
        <v>521340.21500000003</v>
      </c>
      <c r="G48" s="8">
        <v>432</v>
      </c>
      <c r="H48" s="8">
        <v>448</v>
      </c>
      <c r="I48" s="8">
        <v>880</v>
      </c>
      <c r="J48" s="9">
        <v>9.84</v>
      </c>
      <c r="K48" s="9">
        <v>85.93</v>
      </c>
      <c r="L48" s="9">
        <v>17.91</v>
      </c>
      <c r="M48" s="9">
        <v>17.91</v>
      </c>
      <c r="N48">
        <v>89.39</v>
      </c>
      <c r="O48">
        <v>10.61</v>
      </c>
      <c r="P48">
        <v>34</v>
      </c>
      <c r="Q48">
        <v>68.5</v>
      </c>
    </row>
    <row r="49" spans="1:17" x14ac:dyDescent="0.2">
      <c r="A49" t="s">
        <v>70</v>
      </c>
      <c r="B49" t="s">
        <v>68</v>
      </c>
      <c r="C49">
        <v>2011</v>
      </c>
      <c r="D49" s="10">
        <v>5050822.4790000003</v>
      </c>
      <c r="E49" s="10">
        <v>4501638.1919999998</v>
      </c>
      <c r="F49" s="10">
        <v>549184.28700000001</v>
      </c>
      <c r="G49" s="8">
        <v>432</v>
      </c>
      <c r="H49" s="8">
        <v>471</v>
      </c>
      <c r="I49" s="8">
        <v>903</v>
      </c>
      <c r="J49" s="9">
        <v>9.6</v>
      </c>
      <c r="K49" s="9">
        <v>85.76</v>
      </c>
      <c r="L49" s="9">
        <v>17.88</v>
      </c>
      <c r="M49" s="9">
        <v>17.88</v>
      </c>
      <c r="N49">
        <v>89.13</v>
      </c>
      <c r="O49">
        <v>10.87</v>
      </c>
      <c r="P49">
        <v>32.9</v>
      </c>
      <c r="Q49">
        <v>69.5</v>
      </c>
    </row>
    <row r="50" spans="1:17" x14ac:dyDescent="0.2">
      <c r="A50" t="s">
        <v>71</v>
      </c>
      <c r="B50" t="s">
        <v>68</v>
      </c>
      <c r="C50">
        <v>2012</v>
      </c>
      <c r="D50" s="10">
        <v>5006586.1610000003</v>
      </c>
      <c r="E50" s="10">
        <v>4447039.4460000005</v>
      </c>
      <c r="F50" s="10">
        <v>559546.71499999997</v>
      </c>
      <c r="G50" s="8">
        <v>432</v>
      </c>
      <c r="H50" s="8">
        <v>442.5</v>
      </c>
      <c r="I50" s="8">
        <v>874.5</v>
      </c>
      <c r="J50" s="9">
        <v>9.7100000000000009</v>
      </c>
      <c r="K50" s="9">
        <v>79.08</v>
      </c>
      <c r="L50" s="9">
        <v>17.47</v>
      </c>
      <c r="M50" s="9">
        <v>17.47</v>
      </c>
      <c r="N50">
        <v>88.82</v>
      </c>
      <c r="O50">
        <v>11.18</v>
      </c>
      <c r="P50">
        <v>36.799999999999997</v>
      </c>
      <c r="Q50">
        <v>72.099999999999994</v>
      </c>
    </row>
    <row r="51" spans="1:17" x14ac:dyDescent="0.2">
      <c r="A51" t="s">
        <v>72</v>
      </c>
      <c r="B51" t="s">
        <v>68</v>
      </c>
      <c r="C51">
        <v>2013</v>
      </c>
      <c r="D51" s="10">
        <v>5176027.45</v>
      </c>
      <c r="E51" s="10">
        <v>4581162.6830000002</v>
      </c>
      <c r="F51" s="10">
        <v>594864.76699999999</v>
      </c>
      <c r="G51" s="8">
        <v>445</v>
      </c>
      <c r="H51" s="8">
        <v>451.5</v>
      </c>
      <c r="I51" s="8">
        <v>896.5</v>
      </c>
      <c r="J51" s="9">
        <v>9.7100000000000009</v>
      </c>
      <c r="K51" s="9">
        <v>75.900000000000006</v>
      </c>
      <c r="L51" s="9">
        <v>17.32</v>
      </c>
      <c r="M51" s="9">
        <v>17.32</v>
      </c>
      <c r="N51">
        <v>88.51</v>
      </c>
      <c r="O51">
        <v>11.49</v>
      </c>
      <c r="P51">
        <v>35.5</v>
      </c>
      <c r="Q51">
        <v>72.099999999999994</v>
      </c>
    </row>
    <row r="52" spans="1:17" x14ac:dyDescent="0.2">
      <c r="A52" t="s">
        <v>73</v>
      </c>
      <c r="B52" t="s">
        <v>68</v>
      </c>
      <c r="C52">
        <v>2014</v>
      </c>
      <c r="D52" s="10">
        <v>5268698.38</v>
      </c>
      <c r="E52" s="10">
        <v>4644402.0860000001</v>
      </c>
      <c r="F52" s="10">
        <v>624296.29399999999</v>
      </c>
      <c r="G52" s="8">
        <v>456</v>
      </c>
      <c r="H52" s="8">
        <v>494.5</v>
      </c>
      <c r="I52" s="8">
        <v>950.5</v>
      </c>
      <c r="J52" s="9">
        <v>9.82</v>
      </c>
      <c r="K52" s="9">
        <v>79.209999999999994</v>
      </c>
      <c r="L52" s="9">
        <v>18.04</v>
      </c>
      <c r="M52" s="9">
        <v>18.04</v>
      </c>
      <c r="N52">
        <v>88.15</v>
      </c>
      <c r="O52">
        <v>11.85</v>
      </c>
      <c r="P52">
        <v>32</v>
      </c>
      <c r="Q52">
        <v>73</v>
      </c>
    </row>
    <row r="53" spans="1:17" x14ac:dyDescent="0.2">
      <c r="A53" t="s">
        <v>74</v>
      </c>
      <c r="B53" t="s">
        <v>68</v>
      </c>
      <c r="C53">
        <v>2015</v>
      </c>
      <c r="D53" s="11">
        <v>5872796.4859999996</v>
      </c>
      <c r="E53" s="10">
        <v>5138309.1129999999</v>
      </c>
      <c r="F53" s="10">
        <v>734487.37300000002</v>
      </c>
      <c r="G53" s="8">
        <v>432</v>
      </c>
      <c r="H53" s="8">
        <v>516.5</v>
      </c>
      <c r="I53" s="8">
        <v>948.5</v>
      </c>
      <c r="J53" s="9">
        <v>8.41</v>
      </c>
      <c r="K53" s="9">
        <v>70.319999999999993</v>
      </c>
      <c r="L53" s="9">
        <v>16.149999999999999</v>
      </c>
      <c r="M53" s="9">
        <v>16.149999999999999</v>
      </c>
      <c r="N53">
        <v>87.49</v>
      </c>
      <c r="O53">
        <v>12.51</v>
      </c>
      <c r="P53">
        <v>30.7</v>
      </c>
      <c r="Q53">
        <v>66.900000000000006</v>
      </c>
    </row>
    <row r="54" spans="1:17" x14ac:dyDescent="0.2">
      <c r="A54" t="s">
        <v>75</v>
      </c>
      <c r="B54" t="s">
        <v>68</v>
      </c>
      <c r="C54">
        <v>2016</v>
      </c>
      <c r="D54" s="10">
        <v>5359641.1189999999</v>
      </c>
      <c r="E54" s="10">
        <v>4676892.1809999999</v>
      </c>
      <c r="F54" s="10">
        <v>682748.93799999997</v>
      </c>
      <c r="G54" s="8">
        <v>439.5</v>
      </c>
      <c r="H54" s="8">
        <v>400</v>
      </c>
      <c r="I54" s="8">
        <v>839.5</v>
      </c>
      <c r="J54" s="9">
        <v>9.4</v>
      </c>
      <c r="K54" s="9">
        <v>58.59</v>
      </c>
      <c r="L54" s="9">
        <v>15.66</v>
      </c>
      <c r="M54" s="9">
        <v>15.66</v>
      </c>
      <c r="N54">
        <v>87.26</v>
      </c>
      <c r="O54">
        <v>12.74</v>
      </c>
      <c r="P54">
        <v>29.7</v>
      </c>
      <c r="Q54">
        <v>68.5</v>
      </c>
    </row>
    <row r="55" spans="1:17" x14ac:dyDescent="0.2">
      <c r="A55" t="s">
        <v>76</v>
      </c>
      <c r="B55" t="s">
        <v>68</v>
      </c>
      <c r="C55">
        <v>2017</v>
      </c>
      <c r="D55" s="10">
        <v>5915370</v>
      </c>
      <c r="E55" s="10">
        <v>5132875</v>
      </c>
      <c r="F55" s="10">
        <v>782495</v>
      </c>
      <c r="G55" s="8">
        <v>456</v>
      </c>
      <c r="H55" s="8">
        <v>424</v>
      </c>
      <c r="I55" s="8">
        <v>880</v>
      </c>
      <c r="J55" s="9">
        <v>8.8800000000000008</v>
      </c>
      <c r="K55" s="9">
        <v>54.19</v>
      </c>
      <c r="L55" s="9">
        <v>14.88</v>
      </c>
      <c r="M55" s="9">
        <v>14.88</v>
      </c>
      <c r="N55">
        <v>86.77</v>
      </c>
      <c r="O55">
        <v>13.23</v>
      </c>
      <c r="P55">
        <v>26.1</v>
      </c>
    </row>
    <row r="56" spans="1:17" x14ac:dyDescent="0.2">
      <c r="A56" t="s">
        <v>77</v>
      </c>
      <c r="B56" t="s">
        <v>78</v>
      </c>
      <c r="C56">
        <v>2009</v>
      </c>
      <c r="D56" s="11">
        <v>3494729.8709999998</v>
      </c>
      <c r="E56" s="10">
        <v>3018554.7050000001</v>
      </c>
      <c r="F56" s="10">
        <v>476175.16600000003</v>
      </c>
      <c r="G56" s="8">
        <v>432</v>
      </c>
      <c r="H56" s="8">
        <v>600</v>
      </c>
      <c r="I56" s="8">
        <v>1032</v>
      </c>
      <c r="J56" s="9">
        <v>14.31</v>
      </c>
      <c r="K56" s="9">
        <v>126</v>
      </c>
      <c r="L56" s="9">
        <v>29.53</v>
      </c>
      <c r="M56" s="9">
        <v>29.53</v>
      </c>
      <c r="N56">
        <v>86.37</v>
      </c>
      <c r="O56">
        <v>13.63</v>
      </c>
      <c r="Q56">
        <v>75.2</v>
      </c>
    </row>
    <row r="57" spans="1:17" x14ac:dyDescent="0.2">
      <c r="A57" t="s">
        <v>79</v>
      </c>
      <c r="B57" t="s">
        <v>78</v>
      </c>
      <c r="C57">
        <v>2010</v>
      </c>
      <c r="D57" s="10">
        <v>3546674.088</v>
      </c>
      <c r="E57" s="10">
        <v>3055024.8390000002</v>
      </c>
      <c r="F57" s="10">
        <v>491649.24900000001</v>
      </c>
      <c r="G57" s="8">
        <v>432</v>
      </c>
      <c r="H57" s="8">
        <v>522</v>
      </c>
      <c r="I57" s="8">
        <v>954</v>
      </c>
      <c r="J57" s="9">
        <v>14.14</v>
      </c>
      <c r="K57" s="9">
        <v>106.17</v>
      </c>
      <c r="L57" s="9">
        <v>26.9</v>
      </c>
      <c r="M57" s="9">
        <v>26.9</v>
      </c>
      <c r="N57">
        <v>86.14</v>
      </c>
      <c r="O57">
        <v>13.86</v>
      </c>
      <c r="P57">
        <v>36.200000000000003</v>
      </c>
      <c r="Q57">
        <v>68.5</v>
      </c>
    </row>
    <row r="58" spans="1:17" x14ac:dyDescent="0.2">
      <c r="A58" t="s">
        <v>80</v>
      </c>
      <c r="B58" t="s">
        <v>78</v>
      </c>
      <c r="C58">
        <v>2011</v>
      </c>
      <c r="D58" s="10">
        <v>3555012.9780000001</v>
      </c>
      <c r="E58" s="10">
        <v>3055379.196</v>
      </c>
      <c r="F58" s="10">
        <v>499633.78200000001</v>
      </c>
      <c r="G58" s="8">
        <v>432</v>
      </c>
      <c r="H58" s="8">
        <v>606</v>
      </c>
      <c r="I58" s="8">
        <v>1038</v>
      </c>
      <c r="J58" s="9">
        <v>14.14</v>
      </c>
      <c r="K58" s="9">
        <v>121.29</v>
      </c>
      <c r="L58" s="9">
        <v>29.2</v>
      </c>
      <c r="M58" s="9">
        <v>29.2</v>
      </c>
      <c r="N58">
        <v>85.95</v>
      </c>
      <c r="O58">
        <v>14.05</v>
      </c>
      <c r="P58">
        <v>32.700000000000003</v>
      </c>
      <c r="Q58">
        <v>66.400000000000006</v>
      </c>
    </row>
    <row r="59" spans="1:17" x14ac:dyDescent="0.2">
      <c r="A59" t="s">
        <v>81</v>
      </c>
      <c r="B59" t="s">
        <v>78</v>
      </c>
      <c r="C59">
        <v>2012</v>
      </c>
      <c r="D59" s="10">
        <v>3567229.9539999999</v>
      </c>
      <c r="E59" s="10">
        <v>3056953.71</v>
      </c>
      <c r="F59" s="10">
        <v>510276.24400000001</v>
      </c>
      <c r="G59" s="8">
        <v>432</v>
      </c>
      <c r="H59" s="8">
        <v>502</v>
      </c>
      <c r="I59" s="8">
        <v>934</v>
      </c>
      <c r="J59" s="9">
        <v>14.13</v>
      </c>
      <c r="K59" s="9">
        <v>98.38</v>
      </c>
      <c r="L59" s="9">
        <v>26.18</v>
      </c>
      <c r="M59" s="9">
        <v>26.18</v>
      </c>
      <c r="N59">
        <v>85.7</v>
      </c>
      <c r="O59">
        <v>14.3</v>
      </c>
      <c r="P59">
        <v>30.2</v>
      </c>
      <c r="Q59">
        <v>66.8</v>
      </c>
    </row>
    <row r="60" spans="1:17" x14ac:dyDescent="0.2">
      <c r="A60" t="s">
        <v>82</v>
      </c>
      <c r="B60" t="s">
        <v>78</v>
      </c>
      <c r="C60">
        <v>2013</v>
      </c>
      <c r="D60" s="11">
        <v>3580750.7629999998</v>
      </c>
      <c r="E60" s="10">
        <v>3060943.5240000002</v>
      </c>
      <c r="F60" s="10">
        <v>519807.239</v>
      </c>
      <c r="G60" s="8">
        <v>432</v>
      </c>
      <c r="H60" s="8">
        <v>543.5</v>
      </c>
      <c r="I60" s="8">
        <v>975.5</v>
      </c>
      <c r="J60" s="9">
        <v>14.11</v>
      </c>
      <c r="K60" s="9">
        <v>104.56</v>
      </c>
      <c r="L60" s="9">
        <v>27.24</v>
      </c>
      <c r="M60" s="9">
        <v>27.24</v>
      </c>
      <c r="N60">
        <v>85.48</v>
      </c>
      <c r="O60">
        <v>14.52</v>
      </c>
      <c r="P60">
        <v>32.6</v>
      </c>
      <c r="Q60">
        <v>67.5</v>
      </c>
    </row>
    <row r="61" spans="1:17" x14ac:dyDescent="0.2">
      <c r="A61" t="s">
        <v>83</v>
      </c>
      <c r="B61" t="s">
        <v>78</v>
      </c>
      <c r="C61">
        <v>2014</v>
      </c>
      <c r="D61" s="11">
        <v>3595785.358</v>
      </c>
      <c r="E61" s="11">
        <v>3064320.074</v>
      </c>
      <c r="F61" s="10">
        <v>531465.28399999999</v>
      </c>
      <c r="G61" s="8">
        <v>432</v>
      </c>
      <c r="H61" s="8">
        <v>560</v>
      </c>
      <c r="I61" s="8">
        <v>992</v>
      </c>
      <c r="J61" s="9">
        <v>14.1</v>
      </c>
      <c r="K61" s="9">
        <v>105.37</v>
      </c>
      <c r="L61" s="9">
        <v>27.59</v>
      </c>
      <c r="M61" s="9">
        <v>27.59</v>
      </c>
      <c r="N61">
        <v>85.22</v>
      </c>
      <c r="O61">
        <v>14.78</v>
      </c>
      <c r="P61">
        <v>35.700000000000003</v>
      </c>
      <c r="Q61">
        <v>70.099999999999994</v>
      </c>
    </row>
    <row r="62" spans="1:17" x14ac:dyDescent="0.2">
      <c r="A62" t="s">
        <v>84</v>
      </c>
      <c r="B62" t="s">
        <v>78</v>
      </c>
      <c r="C62">
        <v>2015</v>
      </c>
      <c r="D62" s="10">
        <v>3595414.8620000002</v>
      </c>
      <c r="E62" s="10">
        <v>3052999.2420000001</v>
      </c>
      <c r="F62" s="10">
        <v>542415.62</v>
      </c>
      <c r="G62" s="8">
        <v>432</v>
      </c>
      <c r="H62" s="8">
        <v>611</v>
      </c>
      <c r="I62" s="8">
        <v>1043</v>
      </c>
      <c r="J62" s="9">
        <v>14.15</v>
      </c>
      <c r="K62" s="9">
        <v>112.64</v>
      </c>
      <c r="L62" s="9">
        <v>29.01</v>
      </c>
      <c r="M62" s="9">
        <v>29.01</v>
      </c>
      <c r="N62">
        <v>84.91</v>
      </c>
      <c r="O62">
        <v>15.09</v>
      </c>
      <c r="P62">
        <v>33.200000000000003</v>
      </c>
      <c r="Q62">
        <v>66.7</v>
      </c>
    </row>
    <row r="63" spans="1:17" x14ac:dyDescent="0.2">
      <c r="A63" t="s">
        <v>85</v>
      </c>
      <c r="B63" t="s">
        <v>78</v>
      </c>
      <c r="C63">
        <v>2016</v>
      </c>
      <c r="D63" s="10">
        <v>3590736.3530000001</v>
      </c>
      <c r="E63" s="10">
        <v>3037097.79</v>
      </c>
      <c r="F63" s="10">
        <v>553638.56299999997</v>
      </c>
      <c r="G63" s="8">
        <v>432</v>
      </c>
      <c r="H63" s="8">
        <v>475.5</v>
      </c>
      <c r="I63" s="8">
        <v>907.5</v>
      </c>
      <c r="J63" s="9">
        <v>14.22</v>
      </c>
      <c r="K63" s="9">
        <v>85.89</v>
      </c>
      <c r="L63" s="9">
        <v>25.27</v>
      </c>
      <c r="M63" s="9">
        <v>25.27</v>
      </c>
      <c r="N63">
        <v>84.58</v>
      </c>
      <c r="O63">
        <v>15.42</v>
      </c>
      <c r="P63">
        <v>33</v>
      </c>
      <c r="Q63">
        <v>66.599999999999994</v>
      </c>
    </row>
    <row r="64" spans="1:17" x14ac:dyDescent="0.2">
      <c r="A64" t="s">
        <v>86</v>
      </c>
      <c r="B64" t="s">
        <v>78</v>
      </c>
      <c r="C64">
        <v>2017</v>
      </c>
      <c r="D64" s="10">
        <v>3594478</v>
      </c>
      <c r="E64" s="10">
        <v>3018721</v>
      </c>
      <c r="F64" s="10">
        <v>575757</v>
      </c>
      <c r="G64" s="8">
        <v>437.5</v>
      </c>
      <c r="H64" s="8">
        <v>585.5</v>
      </c>
      <c r="I64" s="8">
        <v>1023</v>
      </c>
      <c r="J64" s="9">
        <v>14.49</v>
      </c>
      <c r="K64" s="9">
        <v>101.69</v>
      </c>
      <c r="L64" s="9">
        <v>28.46</v>
      </c>
      <c r="M64" s="9">
        <v>28.46</v>
      </c>
      <c r="N64">
        <v>83.98</v>
      </c>
      <c r="O64">
        <v>16.02</v>
      </c>
      <c r="P64">
        <v>24.9</v>
      </c>
    </row>
    <row r="65" spans="1:17" x14ac:dyDescent="0.2">
      <c r="A65" t="s">
        <v>87</v>
      </c>
      <c r="B65" t="s">
        <v>88</v>
      </c>
      <c r="C65">
        <v>2009</v>
      </c>
      <c r="D65" s="11">
        <v>864393.16799999995</v>
      </c>
      <c r="E65" s="11">
        <v>745245.96199999901</v>
      </c>
      <c r="F65" s="10">
        <v>119147.20600000001</v>
      </c>
      <c r="G65" s="8">
        <v>432</v>
      </c>
      <c r="H65" s="8">
        <v>162</v>
      </c>
      <c r="I65" s="8">
        <v>594</v>
      </c>
      <c r="J65" s="9">
        <v>57.97</v>
      </c>
      <c r="K65" s="9">
        <v>135.97</v>
      </c>
      <c r="L65" s="9">
        <v>68.72</v>
      </c>
      <c r="M65" s="9">
        <v>68.72</v>
      </c>
      <c r="N65">
        <v>86.22</v>
      </c>
      <c r="O65">
        <v>13.78</v>
      </c>
      <c r="Q65">
        <v>71.2</v>
      </c>
    </row>
    <row r="66" spans="1:17" x14ac:dyDescent="0.2">
      <c r="A66" t="s">
        <v>89</v>
      </c>
      <c r="B66" t="s">
        <v>88</v>
      </c>
      <c r="C66">
        <v>2010</v>
      </c>
      <c r="D66" s="11">
        <v>881693.62</v>
      </c>
      <c r="E66" s="10">
        <v>758912.554</v>
      </c>
      <c r="F66" s="10">
        <v>122781.06600000001</v>
      </c>
      <c r="G66" s="8">
        <v>432</v>
      </c>
      <c r="H66" s="8">
        <v>167.5</v>
      </c>
      <c r="I66" s="8">
        <v>599.5</v>
      </c>
      <c r="J66" s="9">
        <v>56.92</v>
      </c>
      <c r="K66" s="9">
        <v>136.41999999999999</v>
      </c>
      <c r="L66" s="9">
        <v>67.989999999999995</v>
      </c>
      <c r="M66" s="9">
        <v>67.989999999999995</v>
      </c>
      <c r="N66">
        <v>86.07</v>
      </c>
      <c r="O66">
        <v>13.93</v>
      </c>
      <c r="P66">
        <v>35</v>
      </c>
      <c r="Q66">
        <v>70.599999999999994</v>
      </c>
    </row>
    <row r="67" spans="1:17" x14ac:dyDescent="0.2">
      <c r="A67" t="s">
        <v>90</v>
      </c>
      <c r="B67" t="s">
        <v>88</v>
      </c>
      <c r="C67">
        <v>2011</v>
      </c>
      <c r="D67" s="10">
        <v>890011.99199999997</v>
      </c>
      <c r="E67" s="10">
        <v>763429.57799999998</v>
      </c>
      <c r="F67" s="10">
        <v>126582.414</v>
      </c>
      <c r="G67" s="8">
        <v>432</v>
      </c>
      <c r="H67" s="8">
        <v>162</v>
      </c>
      <c r="I67" s="8">
        <v>594</v>
      </c>
      <c r="J67" s="9">
        <v>56.59</v>
      </c>
      <c r="K67" s="9">
        <v>127.98</v>
      </c>
      <c r="L67" s="9">
        <v>66.739999999999995</v>
      </c>
      <c r="M67" s="9">
        <v>66.739999999999995</v>
      </c>
      <c r="N67">
        <v>85.78</v>
      </c>
      <c r="O67">
        <v>14.22</v>
      </c>
      <c r="P67">
        <v>34.799999999999997</v>
      </c>
      <c r="Q67">
        <v>69.099999999999994</v>
      </c>
    </row>
    <row r="68" spans="1:17" x14ac:dyDescent="0.2">
      <c r="A68" t="s">
        <v>91</v>
      </c>
      <c r="B68" t="s">
        <v>88</v>
      </c>
      <c r="C68">
        <v>2012</v>
      </c>
      <c r="D68" s="10">
        <v>899540.02500000002</v>
      </c>
      <c r="E68" s="10">
        <v>768807.01</v>
      </c>
      <c r="F68" s="11">
        <v>130733.014999999</v>
      </c>
      <c r="G68" s="8">
        <v>432</v>
      </c>
      <c r="H68" s="8">
        <v>174</v>
      </c>
      <c r="I68" s="8">
        <v>606</v>
      </c>
      <c r="J68" s="9">
        <v>56.19</v>
      </c>
      <c r="K68" s="9">
        <v>133.1</v>
      </c>
      <c r="L68" s="9">
        <v>67.37</v>
      </c>
      <c r="M68" s="9">
        <v>67.37</v>
      </c>
      <c r="N68">
        <v>85.47</v>
      </c>
      <c r="O68">
        <v>14.53</v>
      </c>
      <c r="P68">
        <v>35.299999999999997</v>
      </c>
      <c r="Q68">
        <v>71.400000000000006</v>
      </c>
    </row>
    <row r="69" spans="1:17" x14ac:dyDescent="0.2">
      <c r="A69" t="s">
        <v>92</v>
      </c>
      <c r="B69" t="s">
        <v>88</v>
      </c>
      <c r="C69">
        <v>2013</v>
      </c>
      <c r="D69" s="10">
        <v>908410.39800000004</v>
      </c>
      <c r="E69" s="10">
        <v>773012.60800000001</v>
      </c>
      <c r="F69" s="10">
        <v>135397.79</v>
      </c>
      <c r="G69" s="8">
        <v>432</v>
      </c>
      <c r="H69" s="8">
        <v>167.5</v>
      </c>
      <c r="I69" s="8">
        <v>599.5</v>
      </c>
      <c r="J69" s="9">
        <v>55.89</v>
      </c>
      <c r="K69" s="9">
        <v>123.71</v>
      </c>
      <c r="L69" s="9">
        <v>65.989999999999995</v>
      </c>
      <c r="M69" s="9">
        <v>65.989999999999995</v>
      </c>
      <c r="N69">
        <v>85.1</v>
      </c>
      <c r="O69">
        <v>14.9</v>
      </c>
      <c r="P69">
        <v>32.799999999999997</v>
      </c>
      <c r="Q69">
        <v>70</v>
      </c>
    </row>
    <row r="70" spans="1:17" x14ac:dyDescent="0.2">
      <c r="A70" t="s">
        <v>93</v>
      </c>
      <c r="B70" t="s">
        <v>88</v>
      </c>
      <c r="C70">
        <v>2014</v>
      </c>
      <c r="D70" s="10">
        <v>917125.36499999999</v>
      </c>
      <c r="E70" s="10">
        <v>776040.39500000002</v>
      </c>
      <c r="F70" s="10">
        <v>141084.97</v>
      </c>
      <c r="G70" s="8">
        <v>432</v>
      </c>
      <c r="H70" s="8">
        <v>179.5</v>
      </c>
      <c r="I70" s="8">
        <v>611.5</v>
      </c>
      <c r="J70" s="9">
        <v>55.67</v>
      </c>
      <c r="K70" s="9">
        <v>127.23</v>
      </c>
      <c r="L70" s="9">
        <v>66.680000000000007</v>
      </c>
      <c r="M70" s="9">
        <v>66.680000000000007</v>
      </c>
      <c r="N70">
        <v>84.62</v>
      </c>
      <c r="O70">
        <v>15.38</v>
      </c>
      <c r="P70">
        <v>37.6</v>
      </c>
      <c r="Q70">
        <v>70.400000000000006</v>
      </c>
    </row>
    <row r="71" spans="1:17" x14ac:dyDescent="0.2">
      <c r="A71" t="s">
        <v>94</v>
      </c>
      <c r="B71" t="s">
        <v>88</v>
      </c>
      <c r="C71">
        <v>2015</v>
      </c>
      <c r="D71" s="11">
        <v>926281.16799999995</v>
      </c>
      <c r="E71" s="10">
        <v>778731.78099999996</v>
      </c>
      <c r="F71" s="11">
        <v>147549.38699999999</v>
      </c>
      <c r="G71" s="8">
        <v>432</v>
      </c>
      <c r="H71" s="8">
        <v>196</v>
      </c>
      <c r="I71" s="8">
        <v>628</v>
      </c>
      <c r="J71" s="9">
        <v>55.47</v>
      </c>
      <c r="K71" s="9">
        <v>132.84</v>
      </c>
      <c r="L71" s="9">
        <v>67.8</v>
      </c>
      <c r="M71" s="9">
        <v>67.8</v>
      </c>
      <c r="N71">
        <v>84.07</v>
      </c>
      <c r="O71">
        <v>15.93</v>
      </c>
      <c r="P71">
        <v>30.4</v>
      </c>
      <c r="Q71">
        <v>68.2</v>
      </c>
    </row>
    <row r="72" spans="1:17" x14ac:dyDescent="0.2">
      <c r="A72" t="s">
        <v>95</v>
      </c>
      <c r="B72" t="s">
        <v>88</v>
      </c>
      <c r="C72">
        <v>2016</v>
      </c>
      <c r="D72" s="10">
        <v>935207.24699999997</v>
      </c>
      <c r="E72" s="11">
        <v>781548.20699999901</v>
      </c>
      <c r="F72" s="11">
        <v>153659.03999999899</v>
      </c>
      <c r="G72" s="8">
        <v>432</v>
      </c>
      <c r="H72" s="8">
        <v>162</v>
      </c>
      <c r="I72" s="8">
        <v>594</v>
      </c>
      <c r="J72" s="9">
        <v>55.27</v>
      </c>
      <c r="K72" s="9">
        <v>105.43</v>
      </c>
      <c r="L72" s="9">
        <v>63.52</v>
      </c>
      <c r="M72" s="9">
        <v>63.52</v>
      </c>
      <c r="N72">
        <v>83.57</v>
      </c>
      <c r="O72">
        <v>16.43</v>
      </c>
      <c r="P72">
        <v>36.1</v>
      </c>
      <c r="Q72">
        <v>73.599999999999994</v>
      </c>
    </row>
    <row r="73" spans="1:17" x14ac:dyDescent="0.2">
      <c r="A73" t="s">
        <v>96</v>
      </c>
      <c r="B73" t="s">
        <v>88</v>
      </c>
      <c r="C73">
        <v>2017</v>
      </c>
      <c r="D73" s="10">
        <v>943732</v>
      </c>
      <c r="E73" s="10">
        <v>783167</v>
      </c>
      <c r="F73" s="10">
        <v>160565</v>
      </c>
      <c r="G73" s="8">
        <v>432</v>
      </c>
      <c r="H73" s="8">
        <v>167.5</v>
      </c>
      <c r="I73" s="8">
        <v>599.5</v>
      </c>
      <c r="J73" s="9">
        <v>55.16</v>
      </c>
      <c r="K73" s="9">
        <v>104.32</v>
      </c>
      <c r="L73" s="9">
        <v>63.52</v>
      </c>
      <c r="M73" s="9">
        <v>63.52</v>
      </c>
      <c r="N73">
        <v>82.99</v>
      </c>
      <c r="O73">
        <v>17.010000000000002</v>
      </c>
      <c r="P73">
        <v>28.6</v>
      </c>
    </row>
    <row r="74" spans="1:17" x14ac:dyDescent="0.2">
      <c r="A74" t="s">
        <v>97</v>
      </c>
      <c r="B74" t="s">
        <v>98</v>
      </c>
      <c r="C74">
        <v>2009</v>
      </c>
      <c r="D74" s="11">
        <v>589609.86599999899</v>
      </c>
      <c r="E74" s="10">
        <v>519586.33899999998</v>
      </c>
      <c r="F74" s="10">
        <v>70023.527000000002</v>
      </c>
      <c r="G74" s="8">
        <v>432</v>
      </c>
      <c r="H74" s="8">
        <v>162</v>
      </c>
      <c r="I74" s="8">
        <v>594</v>
      </c>
      <c r="J74" s="9">
        <v>83.14</v>
      </c>
      <c r="K74" s="9">
        <v>231.35</v>
      </c>
      <c r="L74" s="9">
        <v>100.74</v>
      </c>
      <c r="M74" s="9">
        <v>100.74</v>
      </c>
      <c r="N74">
        <v>88.12</v>
      </c>
      <c r="O74">
        <v>11.88</v>
      </c>
      <c r="Q74">
        <v>63.6</v>
      </c>
    </row>
    <row r="75" spans="1:17" x14ac:dyDescent="0.2">
      <c r="A75" t="s">
        <v>99</v>
      </c>
      <c r="B75" t="s">
        <v>98</v>
      </c>
      <c r="C75">
        <v>2010</v>
      </c>
      <c r="D75" s="10">
        <v>585568.80000000005</v>
      </c>
      <c r="E75" s="11">
        <v>518362.8</v>
      </c>
      <c r="F75" s="10">
        <v>67206</v>
      </c>
      <c r="G75" s="8">
        <v>432</v>
      </c>
      <c r="H75" s="8">
        <v>162</v>
      </c>
      <c r="I75" s="8">
        <v>594</v>
      </c>
      <c r="J75" s="9">
        <v>83.34</v>
      </c>
      <c r="K75" s="9">
        <v>241.05</v>
      </c>
      <c r="L75" s="9">
        <v>101.44</v>
      </c>
      <c r="M75" s="9">
        <v>101.44</v>
      </c>
      <c r="N75">
        <v>88.52</v>
      </c>
      <c r="O75">
        <v>11.48</v>
      </c>
      <c r="P75">
        <v>37.1</v>
      </c>
      <c r="Q75">
        <v>62.4</v>
      </c>
    </row>
    <row r="76" spans="1:17" x14ac:dyDescent="0.2">
      <c r="A76" t="s">
        <v>100</v>
      </c>
      <c r="B76" t="s">
        <v>98</v>
      </c>
      <c r="C76">
        <v>2012</v>
      </c>
      <c r="D76" s="10">
        <v>605153.24100000004</v>
      </c>
      <c r="E76" s="10">
        <v>535490.95600000001</v>
      </c>
      <c r="F76" s="10">
        <v>69662.285000000003</v>
      </c>
      <c r="G76" s="8">
        <v>432</v>
      </c>
      <c r="H76" s="8">
        <v>162</v>
      </c>
      <c r="I76" s="8">
        <v>594</v>
      </c>
      <c r="J76" s="9">
        <v>80.67</v>
      </c>
      <c r="K76" s="9">
        <v>232.55</v>
      </c>
      <c r="L76" s="9">
        <v>98.16</v>
      </c>
      <c r="M76" s="9">
        <v>98.16</v>
      </c>
      <c r="N76">
        <v>88.49</v>
      </c>
      <c r="O76">
        <v>11.51</v>
      </c>
      <c r="P76">
        <v>29.1</v>
      </c>
      <c r="Q76">
        <v>63.6</v>
      </c>
    </row>
    <row r="77" spans="1:17" x14ac:dyDescent="0.2">
      <c r="A77" t="s">
        <v>101</v>
      </c>
      <c r="B77" t="s">
        <v>98</v>
      </c>
      <c r="C77">
        <v>2013</v>
      </c>
      <c r="D77" s="10">
        <v>617512.88699999999</v>
      </c>
      <c r="E77" s="10">
        <v>547523.96400000004</v>
      </c>
      <c r="F77" s="10">
        <v>69988.922999999995</v>
      </c>
      <c r="G77" s="8">
        <v>432</v>
      </c>
      <c r="H77" s="8">
        <v>162</v>
      </c>
      <c r="I77" s="8">
        <v>594</v>
      </c>
      <c r="J77" s="9">
        <v>78.900000000000006</v>
      </c>
      <c r="K77" s="9">
        <v>231.47</v>
      </c>
      <c r="L77" s="9">
        <v>96.19</v>
      </c>
      <c r="M77" s="9">
        <v>96.19</v>
      </c>
      <c r="N77">
        <v>88.67</v>
      </c>
      <c r="O77">
        <v>11.33</v>
      </c>
      <c r="P77">
        <v>31.6</v>
      </c>
      <c r="Q77">
        <v>61</v>
      </c>
    </row>
    <row r="78" spans="1:17" x14ac:dyDescent="0.2">
      <c r="A78" t="s">
        <v>102</v>
      </c>
      <c r="B78" t="s">
        <v>98</v>
      </c>
      <c r="C78">
        <v>2014</v>
      </c>
      <c r="D78" s="10">
        <v>633736</v>
      </c>
      <c r="E78" s="11">
        <v>562123.83199999901</v>
      </c>
      <c r="F78" s="10">
        <v>71612.168000000005</v>
      </c>
      <c r="G78" s="8">
        <v>432</v>
      </c>
      <c r="H78" s="8">
        <v>162</v>
      </c>
      <c r="I78" s="8">
        <v>594</v>
      </c>
      <c r="J78" s="9">
        <v>76.849999999999994</v>
      </c>
      <c r="K78" s="9">
        <v>226.22</v>
      </c>
      <c r="L78" s="9">
        <v>93.73</v>
      </c>
      <c r="M78" s="9">
        <v>93.73</v>
      </c>
      <c r="N78">
        <v>88.7</v>
      </c>
      <c r="O78">
        <v>11.3</v>
      </c>
      <c r="P78">
        <v>30.7</v>
      </c>
      <c r="Q78">
        <v>59.1</v>
      </c>
    </row>
    <row r="79" spans="1:17" x14ac:dyDescent="0.2">
      <c r="A79" t="s">
        <v>103</v>
      </c>
      <c r="B79" t="s">
        <v>98</v>
      </c>
      <c r="C79">
        <v>2015</v>
      </c>
      <c r="D79" s="11">
        <v>647483.99999999895</v>
      </c>
      <c r="E79" s="11">
        <v>573670.82399999897</v>
      </c>
      <c r="F79" s="11">
        <v>73813.175999999905</v>
      </c>
      <c r="G79" s="8">
        <v>432</v>
      </c>
      <c r="H79" s="8">
        <v>162</v>
      </c>
      <c r="I79" s="8">
        <v>594</v>
      </c>
      <c r="J79" s="9">
        <v>75.3</v>
      </c>
      <c r="K79" s="9">
        <v>219.47</v>
      </c>
      <c r="L79" s="9">
        <v>91.74</v>
      </c>
      <c r="M79" s="9">
        <v>91.74</v>
      </c>
      <c r="N79">
        <v>88.6</v>
      </c>
      <c r="O79">
        <v>11.4</v>
      </c>
      <c r="P79">
        <v>31.9</v>
      </c>
      <c r="Q79">
        <v>56.2</v>
      </c>
    </row>
    <row r="80" spans="1:17" x14ac:dyDescent="0.2">
      <c r="A80" t="s">
        <v>104</v>
      </c>
      <c r="B80" t="s">
        <v>98</v>
      </c>
      <c r="C80">
        <v>2016</v>
      </c>
      <c r="D80" s="10">
        <v>660327.01800000004</v>
      </c>
      <c r="E80" s="11">
        <v>585199.99199999997</v>
      </c>
      <c r="F80" s="10">
        <v>75127.025999999998</v>
      </c>
      <c r="G80" s="8">
        <v>432</v>
      </c>
      <c r="H80" s="8">
        <v>162</v>
      </c>
      <c r="I80" s="8">
        <v>594</v>
      </c>
      <c r="J80" s="9">
        <v>73.819999999999993</v>
      </c>
      <c r="K80" s="9">
        <v>215.63</v>
      </c>
      <c r="L80" s="9">
        <v>89.96</v>
      </c>
      <c r="M80" s="9">
        <v>89.96</v>
      </c>
      <c r="N80">
        <v>88.62</v>
      </c>
      <c r="O80">
        <v>11.38</v>
      </c>
      <c r="P80">
        <v>32.9</v>
      </c>
      <c r="Q80">
        <v>65</v>
      </c>
    </row>
    <row r="81" spans="1:17" x14ac:dyDescent="0.2">
      <c r="A81" t="s">
        <v>105</v>
      </c>
      <c r="B81" t="s">
        <v>98</v>
      </c>
      <c r="C81">
        <v>2017</v>
      </c>
      <c r="D81" s="10">
        <v>672391</v>
      </c>
      <c r="E81" s="10">
        <v>592622</v>
      </c>
      <c r="F81" s="10">
        <v>79769</v>
      </c>
      <c r="G81" s="8">
        <v>432</v>
      </c>
      <c r="H81" s="8">
        <v>162</v>
      </c>
      <c r="I81" s="8">
        <v>594</v>
      </c>
      <c r="J81" s="9">
        <v>72.900000000000006</v>
      </c>
      <c r="K81" s="9">
        <v>203.09</v>
      </c>
      <c r="L81" s="9">
        <v>88.34</v>
      </c>
      <c r="M81" s="9">
        <v>88.34</v>
      </c>
      <c r="N81">
        <v>88.14</v>
      </c>
      <c r="O81">
        <v>11.86</v>
      </c>
      <c r="P81">
        <v>20.7</v>
      </c>
    </row>
    <row r="82" spans="1:17" x14ac:dyDescent="0.2">
      <c r="A82" t="s">
        <v>106</v>
      </c>
      <c r="B82" t="s">
        <v>107</v>
      </c>
      <c r="C82">
        <v>2009</v>
      </c>
      <c r="D82" s="10">
        <v>18226216.443</v>
      </c>
      <c r="E82" s="10">
        <v>15154751.511</v>
      </c>
      <c r="F82" s="10">
        <v>3071464.932</v>
      </c>
      <c r="G82" s="8">
        <v>717</v>
      </c>
      <c r="H82" s="8">
        <v>1861</v>
      </c>
      <c r="I82" s="8">
        <v>2578</v>
      </c>
      <c r="J82" s="9">
        <v>4.7300000000000004</v>
      </c>
      <c r="K82" s="9">
        <v>60.59</v>
      </c>
      <c r="L82" s="9">
        <v>14.14</v>
      </c>
      <c r="M82" s="9">
        <v>14.14</v>
      </c>
      <c r="N82">
        <v>83.15</v>
      </c>
      <c r="O82">
        <v>16.850000000000001</v>
      </c>
      <c r="Q82">
        <v>67.8</v>
      </c>
    </row>
    <row r="83" spans="1:17" x14ac:dyDescent="0.2">
      <c r="A83" t="s">
        <v>108</v>
      </c>
      <c r="B83" t="s">
        <v>107</v>
      </c>
      <c r="C83">
        <v>2010</v>
      </c>
      <c r="D83" s="10">
        <v>18544001.539999999</v>
      </c>
      <c r="E83" s="10">
        <v>15403595.583000001</v>
      </c>
      <c r="F83" s="10">
        <v>3140405.9569999999</v>
      </c>
      <c r="G83" s="8">
        <v>573.5</v>
      </c>
      <c r="H83" s="8">
        <v>1904</v>
      </c>
      <c r="I83" s="8">
        <v>2477.5</v>
      </c>
      <c r="J83" s="9">
        <v>3.72</v>
      </c>
      <c r="K83" s="9">
        <v>60.63</v>
      </c>
      <c r="L83" s="9">
        <v>13.36</v>
      </c>
      <c r="M83" s="9">
        <v>13.36</v>
      </c>
      <c r="N83">
        <v>83.07</v>
      </c>
      <c r="O83">
        <v>16.93</v>
      </c>
      <c r="P83">
        <v>23.4</v>
      </c>
      <c r="Q83">
        <v>65.2</v>
      </c>
    </row>
    <row r="84" spans="1:17" x14ac:dyDescent="0.2">
      <c r="A84" t="s">
        <v>109</v>
      </c>
      <c r="B84" t="s">
        <v>107</v>
      </c>
      <c r="C84">
        <v>2011</v>
      </c>
      <c r="D84" s="10">
        <v>18638163.374000002</v>
      </c>
      <c r="E84" s="10">
        <v>15437045.491</v>
      </c>
      <c r="F84" s="10">
        <v>3201117.8829999999</v>
      </c>
      <c r="G84" s="8">
        <v>628</v>
      </c>
      <c r="H84" s="8">
        <v>2034</v>
      </c>
      <c r="I84" s="8">
        <v>2662</v>
      </c>
      <c r="J84" s="9">
        <v>4.07</v>
      </c>
      <c r="K84" s="9">
        <v>63.54</v>
      </c>
      <c r="L84" s="9">
        <v>14.28</v>
      </c>
      <c r="M84" s="9">
        <v>14.28</v>
      </c>
      <c r="N84">
        <v>82.82</v>
      </c>
      <c r="O84">
        <v>17.18</v>
      </c>
      <c r="P84">
        <v>22.9</v>
      </c>
      <c r="Q84">
        <v>62.3</v>
      </c>
    </row>
    <row r="85" spans="1:17" x14ac:dyDescent="0.2">
      <c r="A85" t="s">
        <v>110</v>
      </c>
      <c r="B85" t="s">
        <v>107</v>
      </c>
      <c r="C85">
        <v>2012</v>
      </c>
      <c r="D85" s="10">
        <v>18698213.905999999</v>
      </c>
      <c r="E85" s="10">
        <v>15425290.767999999</v>
      </c>
      <c r="F85" s="10">
        <v>3272923.1379999998</v>
      </c>
      <c r="G85" s="8">
        <v>584.5</v>
      </c>
      <c r="H85" s="8">
        <v>1985</v>
      </c>
      <c r="I85" s="8">
        <v>2569.5</v>
      </c>
      <c r="J85" s="9">
        <v>3.79</v>
      </c>
      <c r="K85" s="9">
        <v>60.65</v>
      </c>
      <c r="L85" s="9">
        <v>13.74</v>
      </c>
      <c r="M85" s="9">
        <v>13.74</v>
      </c>
      <c r="N85">
        <v>82.5</v>
      </c>
      <c r="O85">
        <v>17.5</v>
      </c>
      <c r="P85">
        <v>18.899999999999999</v>
      </c>
      <c r="Q85">
        <v>56.7</v>
      </c>
    </row>
    <row r="86" spans="1:17" x14ac:dyDescent="0.2">
      <c r="A86" t="s">
        <v>111</v>
      </c>
      <c r="B86" t="s">
        <v>107</v>
      </c>
      <c r="C86">
        <v>2013</v>
      </c>
      <c r="D86" s="10">
        <v>18826249.502999999</v>
      </c>
      <c r="E86" s="10">
        <v>15493358.503</v>
      </c>
      <c r="F86" s="10">
        <v>3332891</v>
      </c>
      <c r="G86" s="8">
        <v>743.5</v>
      </c>
      <c r="H86" s="8">
        <v>2136</v>
      </c>
      <c r="I86" s="8">
        <v>2879.5</v>
      </c>
      <c r="J86" s="9">
        <v>4.8</v>
      </c>
      <c r="K86" s="9">
        <v>64.09</v>
      </c>
      <c r="L86" s="9">
        <v>15.3</v>
      </c>
      <c r="M86" s="9">
        <v>15.3</v>
      </c>
      <c r="N86">
        <v>82.3</v>
      </c>
      <c r="O86">
        <v>17.7</v>
      </c>
      <c r="P86">
        <v>21</v>
      </c>
      <c r="Q86">
        <v>58.7</v>
      </c>
    </row>
    <row r="87" spans="1:17" x14ac:dyDescent="0.2">
      <c r="A87" t="s">
        <v>112</v>
      </c>
      <c r="B87" t="s">
        <v>107</v>
      </c>
      <c r="C87">
        <v>2014</v>
      </c>
      <c r="D87" s="10">
        <v>19203030.962000001</v>
      </c>
      <c r="E87" s="10">
        <v>15730869.226</v>
      </c>
      <c r="F87" s="10">
        <v>3472161.736</v>
      </c>
      <c r="G87" s="8">
        <v>784</v>
      </c>
      <c r="H87" s="8">
        <v>2143</v>
      </c>
      <c r="I87" s="8">
        <v>2927</v>
      </c>
      <c r="J87" s="9">
        <v>4.9800000000000004</v>
      </c>
      <c r="K87" s="9">
        <v>61.72</v>
      </c>
      <c r="L87" s="9">
        <v>15.24</v>
      </c>
      <c r="M87" s="9">
        <v>15.24</v>
      </c>
      <c r="N87">
        <v>81.92</v>
      </c>
      <c r="O87">
        <v>18.079999999999998</v>
      </c>
      <c r="P87">
        <v>22.5</v>
      </c>
      <c r="Q87">
        <v>62</v>
      </c>
    </row>
    <row r="88" spans="1:17" x14ac:dyDescent="0.2">
      <c r="A88" t="s">
        <v>113</v>
      </c>
      <c r="B88" t="s">
        <v>107</v>
      </c>
      <c r="C88">
        <v>2015</v>
      </c>
      <c r="D88" s="10">
        <v>19360727.728999998</v>
      </c>
      <c r="E88" s="10">
        <v>15746350.166999999</v>
      </c>
      <c r="F88" s="10">
        <v>3614377.5619999999</v>
      </c>
      <c r="G88" s="8">
        <v>635.5</v>
      </c>
      <c r="H88" s="8">
        <v>2271</v>
      </c>
      <c r="I88" s="8">
        <v>2906.5</v>
      </c>
      <c r="J88" s="9">
        <v>4.04</v>
      </c>
      <c r="K88" s="9">
        <v>62.83</v>
      </c>
      <c r="L88" s="9">
        <v>15.01</v>
      </c>
      <c r="M88" s="9">
        <v>15.01</v>
      </c>
      <c r="N88">
        <v>81.33</v>
      </c>
      <c r="O88">
        <v>18.670000000000002</v>
      </c>
      <c r="P88">
        <v>21.4</v>
      </c>
      <c r="Q88">
        <v>60.6</v>
      </c>
    </row>
    <row r="89" spans="1:17" x14ac:dyDescent="0.2">
      <c r="A89" t="s">
        <v>114</v>
      </c>
      <c r="B89" t="s">
        <v>107</v>
      </c>
      <c r="C89">
        <v>2016</v>
      </c>
      <c r="D89" s="10">
        <v>20030261.109000001</v>
      </c>
      <c r="E89" s="10">
        <v>16214600.321</v>
      </c>
      <c r="F89" s="10">
        <v>3815660.7880000002</v>
      </c>
      <c r="G89" s="8">
        <v>749.5</v>
      </c>
      <c r="H89" s="8">
        <v>2260</v>
      </c>
      <c r="I89" s="8">
        <v>3009.5</v>
      </c>
      <c r="J89" s="9">
        <v>4.62</v>
      </c>
      <c r="K89" s="9">
        <v>59.23</v>
      </c>
      <c r="L89" s="9">
        <v>15.02</v>
      </c>
      <c r="M89" s="9">
        <v>15.02</v>
      </c>
      <c r="N89">
        <v>80.95</v>
      </c>
      <c r="O89">
        <v>19.05</v>
      </c>
      <c r="P89">
        <v>21</v>
      </c>
      <c r="Q89">
        <v>64</v>
      </c>
    </row>
    <row r="90" spans="1:17" x14ac:dyDescent="0.2">
      <c r="A90" t="s">
        <v>115</v>
      </c>
      <c r="B90" t="s">
        <v>107</v>
      </c>
      <c r="C90">
        <v>2017</v>
      </c>
      <c r="D90" s="10">
        <v>20438732</v>
      </c>
      <c r="E90" s="10">
        <v>16486446</v>
      </c>
      <c r="F90" s="10">
        <v>3952286</v>
      </c>
      <c r="G90" s="8">
        <v>711</v>
      </c>
      <c r="H90" s="8">
        <v>2554</v>
      </c>
      <c r="I90" s="8">
        <v>3265</v>
      </c>
      <c r="J90" s="9">
        <v>4.3099999999999996</v>
      </c>
      <c r="K90" s="9">
        <v>64.62</v>
      </c>
      <c r="L90" s="9">
        <v>15.97</v>
      </c>
      <c r="M90" s="9">
        <v>15.97</v>
      </c>
      <c r="N90">
        <v>80.66</v>
      </c>
      <c r="O90">
        <v>19.34</v>
      </c>
      <c r="P90">
        <v>18.399999999999999</v>
      </c>
    </row>
    <row r="91" spans="1:17" x14ac:dyDescent="0.2">
      <c r="A91" t="s">
        <v>116</v>
      </c>
      <c r="B91" t="s">
        <v>117</v>
      </c>
      <c r="C91">
        <v>2009</v>
      </c>
      <c r="D91" s="10">
        <v>9710984.3929999992</v>
      </c>
      <c r="E91" s="10">
        <v>8732051.4690000005</v>
      </c>
      <c r="F91" s="10">
        <v>978932.924</v>
      </c>
      <c r="G91" s="8">
        <v>530.5</v>
      </c>
      <c r="H91" s="8">
        <v>1165.5</v>
      </c>
      <c r="I91" s="8">
        <v>1696</v>
      </c>
      <c r="J91" s="9">
        <v>6.08</v>
      </c>
      <c r="K91" s="9">
        <v>119.06</v>
      </c>
      <c r="L91" s="9">
        <v>17.46</v>
      </c>
      <c r="M91" s="9">
        <v>17.46</v>
      </c>
      <c r="N91">
        <v>89.92</v>
      </c>
      <c r="O91">
        <v>10.08</v>
      </c>
      <c r="Q91">
        <v>68.3</v>
      </c>
    </row>
    <row r="92" spans="1:17" x14ac:dyDescent="0.2">
      <c r="A92" t="s">
        <v>118</v>
      </c>
      <c r="B92" t="s">
        <v>117</v>
      </c>
      <c r="C92">
        <v>2010</v>
      </c>
      <c r="D92" s="10">
        <v>9598287.4930000007</v>
      </c>
      <c r="E92" s="10">
        <v>8606857.7809999995</v>
      </c>
      <c r="F92" s="10">
        <v>991429.71200000006</v>
      </c>
      <c r="G92" s="8">
        <v>504.5</v>
      </c>
      <c r="H92" s="8">
        <v>1172</v>
      </c>
      <c r="I92" s="8">
        <v>1676.5</v>
      </c>
      <c r="J92" s="9">
        <v>5.86</v>
      </c>
      <c r="K92" s="9">
        <v>118.21</v>
      </c>
      <c r="L92" s="9">
        <v>17.47</v>
      </c>
      <c r="M92" s="9">
        <v>17.47</v>
      </c>
      <c r="N92">
        <v>89.67</v>
      </c>
      <c r="O92">
        <v>10.33</v>
      </c>
      <c r="P92">
        <v>35.299999999999997</v>
      </c>
      <c r="Q92">
        <v>61</v>
      </c>
    </row>
    <row r="93" spans="1:17" x14ac:dyDescent="0.2">
      <c r="A93" t="s">
        <v>119</v>
      </c>
      <c r="B93" t="s">
        <v>117</v>
      </c>
      <c r="C93">
        <v>2011</v>
      </c>
      <c r="D93" s="10">
        <v>9628406.2899999991</v>
      </c>
      <c r="E93" s="10">
        <v>8615291.6439999994</v>
      </c>
      <c r="F93" s="10">
        <v>1013114.6459999999</v>
      </c>
      <c r="G93" s="8">
        <v>529</v>
      </c>
      <c r="H93" s="8">
        <v>1173</v>
      </c>
      <c r="I93" s="8">
        <v>1702</v>
      </c>
      <c r="J93" s="9">
        <v>6.14</v>
      </c>
      <c r="K93" s="9">
        <v>115.78</v>
      </c>
      <c r="L93" s="9">
        <v>17.68</v>
      </c>
      <c r="M93" s="9">
        <v>17.68</v>
      </c>
      <c r="N93">
        <v>89.48</v>
      </c>
      <c r="O93">
        <v>10.52</v>
      </c>
      <c r="P93">
        <v>27.1</v>
      </c>
      <c r="Q93">
        <v>68.599999999999994</v>
      </c>
    </row>
    <row r="94" spans="1:17" x14ac:dyDescent="0.2">
      <c r="A94" t="s">
        <v>120</v>
      </c>
      <c r="B94" t="s">
        <v>117</v>
      </c>
      <c r="C94">
        <v>2012</v>
      </c>
      <c r="D94" s="10">
        <v>9960483.2520000003</v>
      </c>
      <c r="E94" s="10">
        <v>8874150.352</v>
      </c>
      <c r="F94" s="10">
        <v>1086332.8999999999</v>
      </c>
      <c r="G94" s="8">
        <v>518</v>
      </c>
      <c r="H94" s="8">
        <v>1117</v>
      </c>
      <c r="I94" s="8">
        <v>1635</v>
      </c>
      <c r="J94" s="9">
        <v>5.84</v>
      </c>
      <c r="K94" s="9">
        <v>102.82</v>
      </c>
      <c r="L94" s="9">
        <v>16.41</v>
      </c>
      <c r="M94" s="9">
        <v>16.41</v>
      </c>
      <c r="N94">
        <v>89.09</v>
      </c>
      <c r="O94">
        <v>10.91</v>
      </c>
      <c r="P94">
        <v>27</v>
      </c>
      <c r="Q94">
        <v>62</v>
      </c>
    </row>
    <row r="95" spans="1:17" x14ac:dyDescent="0.2">
      <c r="A95" t="s">
        <v>121</v>
      </c>
      <c r="B95" t="s">
        <v>117</v>
      </c>
      <c r="C95">
        <v>2013</v>
      </c>
      <c r="D95" s="10">
        <v>10022532.421</v>
      </c>
      <c r="E95" s="10">
        <v>8891569.8039999995</v>
      </c>
      <c r="F95" s="10">
        <v>1130962.6170000001</v>
      </c>
      <c r="G95" s="8">
        <v>559</v>
      </c>
      <c r="H95" s="8">
        <v>1155.5</v>
      </c>
      <c r="I95" s="8">
        <v>1714.5</v>
      </c>
      <c r="J95" s="9">
        <v>6.29</v>
      </c>
      <c r="K95" s="9">
        <v>102.17</v>
      </c>
      <c r="L95" s="9">
        <v>17.11</v>
      </c>
      <c r="M95" s="9">
        <v>17.11</v>
      </c>
      <c r="N95">
        <v>88.72</v>
      </c>
      <c r="O95">
        <v>11.28</v>
      </c>
      <c r="P95">
        <v>24</v>
      </c>
      <c r="Q95">
        <v>59.3</v>
      </c>
    </row>
    <row r="96" spans="1:17" x14ac:dyDescent="0.2">
      <c r="A96" t="s">
        <v>122</v>
      </c>
      <c r="B96" t="s">
        <v>117</v>
      </c>
      <c r="C96">
        <v>2014</v>
      </c>
      <c r="D96" s="10">
        <v>9813880.7229999993</v>
      </c>
      <c r="E96" s="10">
        <v>8689558.1789999995</v>
      </c>
      <c r="F96" s="10">
        <v>1124322.544</v>
      </c>
      <c r="G96" s="8">
        <v>617</v>
      </c>
      <c r="H96" s="8">
        <v>1133</v>
      </c>
      <c r="I96" s="8">
        <v>1750</v>
      </c>
      <c r="J96" s="9">
        <v>7.1</v>
      </c>
      <c r="K96" s="9">
        <v>100.77</v>
      </c>
      <c r="L96" s="9">
        <v>17.829999999999998</v>
      </c>
      <c r="M96" s="9">
        <v>17.829999999999998</v>
      </c>
      <c r="N96">
        <v>88.54</v>
      </c>
      <c r="O96">
        <v>11.46</v>
      </c>
      <c r="P96">
        <v>27.7</v>
      </c>
      <c r="Q96">
        <v>62.8</v>
      </c>
    </row>
    <row r="97" spans="1:17" x14ac:dyDescent="0.2">
      <c r="A97" t="s">
        <v>123</v>
      </c>
      <c r="B97" t="s">
        <v>117</v>
      </c>
      <c r="C97">
        <v>2015</v>
      </c>
      <c r="D97" s="10">
        <v>10308467.947000001</v>
      </c>
      <c r="E97" s="10">
        <v>9061615.2259999998</v>
      </c>
      <c r="F97" s="10">
        <v>1246852.7209999999</v>
      </c>
      <c r="G97" s="8">
        <v>551</v>
      </c>
      <c r="H97" s="8">
        <v>1159</v>
      </c>
      <c r="I97" s="8">
        <v>1710</v>
      </c>
      <c r="J97" s="9">
        <v>6.08</v>
      </c>
      <c r="K97" s="9">
        <v>92.95</v>
      </c>
      <c r="L97" s="9">
        <v>16.59</v>
      </c>
      <c r="M97" s="9">
        <v>16.59</v>
      </c>
      <c r="N97">
        <v>87.9</v>
      </c>
      <c r="O97">
        <v>12.1</v>
      </c>
      <c r="P97">
        <v>26.2</v>
      </c>
      <c r="Q97">
        <v>62.6</v>
      </c>
    </row>
    <row r="98" spans="1:17" x14ac:dyDescent="0.2">
      <c r="A98" t="s">
        <v>124</v>
      </c>
      <c r="B98" t="s">
        <v>117</v>
      </c>
      <c r="C98">
        <v>2016</v>
      </c>
      <c r="D98" s="10">
        <v>10079994.299000001</v>
      </c>
      <c r="E98" s="10">
        <v>8834976.1610000003</v>
      </c>
      <c r="F98" s="10">
        <v>1245018.138</v>
      </c>
      <c r="G98" s="8">
        <v>584.5</v>
      </c>
      <c r="H98" s="8">
        <v>1068</v>
      </c>
      <c r="I98" s="8">
        <v>1652.5</v>
      </c>
      <c r="J98" s="9">
        <v>6.62</v>
      </c>
      <c r="K98" s="9">
        <v>85.78</v>
      </c>
      <c r="L98" s="9">
        <v>16.39</v>
      </c>
      <c r="M98" s="9">
        <v>16.39</v>
      </c>
      <c r="N98">
        <v>87.65</v>
      </c>
      <c r="O98">
        <v>12.35</v>
      </c>
      <c r="P98">
        <v>26.7</v>
      </c>
      <c r="Q98">
        <v>64.8</v>
      </c>
    </row>
    <row r="99" spans="1:17" x14ac:dyDescent="0.2">
      <c r="A99" t="s">
        <v>125</v>
      </c>
      <c r="B99" t="s">
        <v>117</v>
      </c>
      <c r="C99">
        <v>2017</v>
      </c>
      <c r="D99" s="10">
        <v>10346352</v>
      </c>
      <c r="E99" s="10">
        <v>9013003</v>
      </c>
      <c r="F99" s="10">
        <v>1333349</v>
      </c>
      <c r="G99" s="8">
        <v>547</v>
      </c>
      <c r="H99" s="8">
        <v>1117</v>
      </c>
      <c r="I99" s="8">
        <v>1664</v>
      </c>
      <c r="J99" s="9">
        <v>6.07</v>
      </c>
      <c r="K99" s="9">
        <v>83.77</v>
      </c>
      <c r="L99" s="9">
        <v>16.079999999999998</v>
      </c>
      <c r="M99" s="9">
        <v>16.079999999999998</v>
      </c>
      <c r="N99">
        <v>87.11</v>
      </c>
      <c r="O99">
        <v>12.89</v>
      </c>
      <c r="P99">
        <v>22.5</v>
      </c>
    </row>
    <row r="100" spans="1:17" x14ac:dyDescent="0.2">
      <c r="A100" t="s">
        <v>126</v>
      </c>
      <c r="B100" t="s">
        <v>127</v>
      </c>
      <c r="C100">
        <v>2009</v>
      </c>
      <c r="D100" s="10">
        <v>1282393.3970000001</v>
      </c>
      <c r="E100" s="10">
        <v>1101746.827</v>
      </c>
      <c r="F100" s="10">
        <v>180646.57</v>
      </c>
      <c r="G100" s="8">
        <v>432</v>
      </c>
      <c r="H100" s="8">
        <v>231</v>
      </c>
      <c r="I100" s="8">
        <v>663</v>
      </c>
      <c r="J100" s="9">
        <v>39.21</v>
      </c>
      <c r="K100" s="9">
        <v>127.87</v>
      </c>
      <c r="L100" s="9">
        <v>51.7</v>
      </c>
      <c r="M100" s="9">
        <v>51.7</v>
      </c>
      <c r="N100">
        <v>85.91</v>
      </c>
      <c r="O100">
        <v>14.09</v>
      </c>
      <c r="Q100">
        <v>76.900000000000006</v>
      </c>
    </row>
    <row r="101" spans="1:17" x14ac:dyDescent="0.2">
      <c r="A101" t="s">
        <v>128</v>
      </c>
      <c r="B101" t="s">
        <v>127</v>
      </c>
      <c r="C101">
        <v>2010</v>
      </c>
      <c r="D101" s="10">
        <v>1333656.534</v>
      </c>
      <c r="E101" s="10">
        <v>1147748.098</v>
      </c>
      <c r="F101" s="10">
        <v>185908.43599999999</v>
      </c>
      <c r="G101" s="8">
        <v>432</v>
      </c>
      <c r="H101" s="8">
        <v>258</v>
      </c>
      <c r="I101" s="8">
        <v>690</v>
      </c>
      <c r="J101" s="9">
        <v>37.64</v>
      </c>
      <c r="K101" s="9">
        <v>138.78</v>
      </c>
      <c r="L101" s="9">
        <v>51.74</v>
      </c>
      <c r="M101" s="9">
        <v>51.74</v>
      </c>
      <c r="N101">
        <v>86.06</v>
      </c>
      <c r="O101">
        <v>13.94</v>
      </c>
      <c r="P101">
        <v>33.6</v>
      </c>
      <c r="Q101">
        <v>69</v>
      </c>
    </row>
    <row r="102" spans="1:17" x14ac:dyDescent="0.2">
      <c r="A102" t="s">
        <v>129</v>
      </c>
      <c r="B102" t="s">
        <v>127</v>
      </c>
      <c r="C102">
        <v>2011</v>
      </c>
      <c r="D102" s="10">
        <v>1348559.379</v>
      </c>
      <c r="E102" s="11">
        <v>1156737.68899999</v>
      </c>
      <c r="F102" s="10">
        <v>191821.69</v>
      </c>
      <c r="G102" s="8">
        <v>864</v>
      </c>
      <c r="H102" s="8">
        <v>463</v>
      </c>
      <c r="I102" s="8">
        <v>1327</v>
      </c>
      <c r="J102" s="9">
        <v>74.69</v>
      </c>
      <c r="K102" s="9">
        <v>241.37</v>
      </c>
      <c r="L102" s="9">
        <v>98.4</v>
      </c>
      <c r="M102" s="9">
        <v>98.4</v>
      </c>
      <c r="N102">
        <v>85.78</v>
      </c>
      <c r="O102">
        <v>14.22</v>
      </c>
      <c r="P102">
        <v>33.5</v>
      </c>
      <c r="Q102">
        <v>70.599999999999994</v>
      </c>
    </row>
    <row r="103" spans="1:17" x14ac:dyDescent="0.2">
      <c r="A103" t="s">
        <v>130</v>
      </c>
      <c r="B103" t="s">
        <v>127</v>
      </c>
      <c r="C103">
        <v>2012</v>
      </c>
      <c r="D103" s="10">
        <v>1362063.882</v>
      </c>
      <c r="E103" s="10">
        <v>1164954.3370000001</v>
      </c>
      <c r="F103" s="10">
        <v>197109.54500000001</v>
      </c>
      <c r="G103" s="8">
        <v>432</v>
      </c>
      <c r="H103" s="8">
        <v>364.5</v>
      </c>
      <c r="I103" s="8">
        <v>796.5</v>
      </c>
      <c r="J103" s="9">
        <v>37.08</v>
      </c>
      <c r="K103" s="9">
        <v>184.92</v>
      </c>
      <c r="L103" s="9">
        <v>58.48</v>
      </c>
      <c r="M103" s="9">
        <v>58.48</v>
      </c>
      <c r="N103">
        <v>85.53</v>
      </c>
      <c r="O103">
        <v>14.47</v>
      </c>
      <c r="P103">
        <v>31.4</v>
      </c>
      <c r="Q103">
        <v>73.5</v>
      </c>
    </row>
    <row r="104" spans="1:17" x14ac:dyDescent="0.2">
      <c r="A104" t="s">
        <v>131</v>
      </c>
      <c r="B104" t="s">
        <v>127</v>
      </c>
      <c r="C104">
        <v>2013</v>
      </c>
      <c r="D104" s="10">
        <v>1372058.0079999999</v>
      </c>
      <c r="E104" s="10">
        <v>1169849.7549999999</v>
      </c>
      <c r="F104" s="11">
        <v>202208.253</v>
      </c>
      <c r="G104" s="8">
        <v>432</v>
      </c>
      <c r="H104" s="8">
        <v>400</v>
      </c>
      <c r="I104" s="8">
        <v>832</v>
      </c>
      <c r="J104" s="9">
        <v>36.93</v>
      </c>
      <c r="K104" s="9">
        <v>197.82</v>
      </c>
      <c r="L104" s="9">
        <v>60.64</v>
      </c>
      <c r="M104" s="9">
        <v>60.64</v>
      </c>
      <c r="N104">
        <v>85.26</v>
      </c>
      <c r="O104">
        <v>14.74</v>
      </c>
      <c r="P104">
        <v>32</v>
      </c>
      <c r="Q104">
        <v>73.2</v>
      </c>
    </row>
    <row r="105" spans="1:17" x14ac:dyDescent="0.2">
      <c r="A105" t="s">
        <v>132</v>
      </c>
      <c r="B105" t="s">
        <v>127</v>
      </c>
      <c r="C105">
        <v>2014</v>
      </c>
      <c r="D105" s="11">
        <v>1391420.04999999</v>
      </c>
      <c r="E105" s="10">
        <v>1178545.9850000001</v>
      </c>
      <c r="F105" s="10">
        <v>212874.065</v>
      </c>
      <c r="G105" s="8">
        <v>432</v>
      </c>
      <c r="H105" s="8">
        <v>371.5</v>
      </c>
      <c r="I105" s="8">
        <v>803.5</v>
      </c>
      <c r="J105" s="9">
        <v>36.659999999999997</v>
      </c>
      <c r="K105" s="9">
        <v>174.52</v>
      </c>
      <c r="L105" s="9">
        <v>57.75</v>
      </c>
      <c r="M105" s="9">
        <v>57.75</v>
      </c>
      <c r="N105">
        <v>84.7</v>
      </c>
      <c r="O105">
        <v>15.3</v>
      </c>
      <c r="P105">
        <v>29.1</v>
      </c>
      <c r="Q105">
        <v>69.2</v>
      </c>
    </row>
    <row r="106" spans="1:17" x14ac:dyDescent="0.2">
      <c r="A106" t="s">
        <v>133</v>
      </c>
      <c r="B106" t="s">
        <v>127</v>
      </c>
      <c r="C106">
        <v>2015</v>
      </c>
      <c r="D106" s="10">
        <v>1405238.2749999999</v>
      </c>
      <c r="E106" s="10">
        <v>1185327.6229999999</v>
      </c>
      <c r="F106" s="10">
        <v>219910.652</v>
      </c>
      <c r="G106" s="8">
        <v>432</v>
      </c>
      <c r="H106" s="8">
        <v>481.5</v>
      </c>
      <c r="I106" s="8">
        <v>913.5</v>
      </c>
      <c r="J106" s="9">
        <v>36.450000000000003</v>
      </c>
      <c r="K106" s="9">
        <v>218.95</v>
      </c>
      <c r="L106" s="9">
        <v>65.010000000000005</v>
      </c>
      <c r="M106" s="9">
        <v>65.010000000000005</v>
      </c>
      <c r="N106">
        <v>84.35</v>
      </c>
      <c r="O106">
        <v>15.65</v>
      </c>
      <c r="P106">
        <v>27.9</v>
      </c>
      <c r="Q106">
        <v>64.099999999999994</v>
      </c>
    </row>
    <row r="107" spans="1:17" x14ac:dyDescent="0.2">
      <c r="A107" t="s">
        <v>134</v>
      </c>
      <c r="B107" t="s">
        <v>127</v>
      </c>
      <c r="C107">
        <v>2016</v>
      </c>
      <c r="D107" s="10">
        <v>1413774.7620000001</v>
      </c>
      <c r="E107" s="10">
        <v>1185619.6740000001</v>
      </c>
      <c r="F107" s="10">
        <v>228155.08799999999</v>
      </c>
      <c r="G107" s="8">
        <v>432</v>
      </c>
      <c r="H107" s="8">
        <v>438</v>
      </c>
      <c r="I107" s="8">
        <v>870</v>
      </c>
      <c r="J107" s="9">
        <v>36.44</v>
      </c>
      <c r="K107" s="9">
        <v>191.97</v>
      </c>
      <c r="L107" s="9">
        <v>61.54</v>
      </c>
      <c r="M107" s="9">
        <v>61.54</v>
      </c>
      <c r="N107">
        <v>83.86</v>
      </c>
      <c r="O107">
        <v>16.14</v>
      </c>
      <c r="P107">
        <v>27.9</v>
      </c>
      <c r="Q107">
        <v>66.2</v>
      </c>
    </row>
    <row r="108" spans="1:17" x14ac:dyDescent="0.2">
      <c r="A108" t="s">
        <v>135</v>
      </c>
      <c r="B108" t="s">
        <v>127</v>
      </c>
      <c r="C108">
        <v>2017</v>
      </c>
      <c r="D108" s="10">
        <v>1421732</v>
      </c>
      <c r="E108" s="10">
        <v>1183588</v>
      </c>
      <c r="F108" s="10">
        <v>238144</v>
      </c>
      <c r="G108" s="8">
        <v>432</v>
      </c>
      <c r="H108" s="8">
        <v>539</v>
      </c>
      <c r="I108" s="8">
        <v>971</v>
      </c>
      <c r="J108" s="9">
        <v>36.5</v>
      </c>
      <c r="K108" s="9">
        <v>226.33</v>
      </c>
      <c r="L108" s="9">
        <v>68.3</v>
      </c>
      <c r="M108" s="9">
        <v>68.3</v>
      </c>
      <c r="N108">
        <v>83.25</v>
      </c>
      <c r="O108">
        <v>16.75</v>
      </c>
      <c r="P108">
        <v>23.7</v>
      </c>
    </row>
    <row r="109" spans="1:17" x14ac:dyDescent="0.2">
      <c r="A109" t="s">
        <v>136</v>
      </c>
      <c r="B109" t="s">
        <v>137</v>
      </c>
      <c r="C109">
        <v>2009</v>
      </c>
      <c r="D109" s="10">
        <v>1498482.7949999999</v>
      </c>
      <c r="E109" s="10">
        <v>1321942.4509999999</v>
      </c>
      <c r="F109" s="10">
        <v>176540.34400000001</v>
      </c>
      <c r="G109" s="8">
        <v>432</v>
      </c>
      <c r="H109" s="8">
        <v>167.5</v>
      </c>
      <c r="I109" s="8">
        <v>599.5</v>
      </c>
      <c r="J109" s="9">
        <v>32.68</v>
      </c>
      <c r="K109" s="9">
        <v>94.88</v>
      </c>
      <c r="L109" s="9">
        <v>40.01</v>
      </c>
      <c r="M109" s="9">
        <v>40.01</v>
      </c>
      <c r="N109">
        <v>88.22</v>
      </c>
      <c r="O109">
        <v>11.78</v>
      </c>
      <c r="Q109">
        <v>65.099999999999994</v>
      </c>
    </row>
    <row r="110" spans="1:17" x14ac:dyDescent="0.2">
      <c r="A110" t="s">
        <v>138</v>
      </c>
      <c r="B110" t="s">
        <v>137</v>
      </c>
      <c r="C110">
        <v>2010</v>
      </c>
      <c r="D110" s="10">
        <v>1534530.537</v>
      </c>
      <c r="E110" s="10">
        <v>1351372.2660000001</v>
      </c>
      <c r="F110" s="10">
        <v>183158.27100000001</v>
      </c>
      <c r="G110" s="8">
        <v>432</v>
      </c>
      <c r="H110" s="8">
        <v>213</v>
      </c>
      <c r="I110" s="8">
        <v>645</v>
      </c>
      <c r="J110" s="9">
        <v>31.97</v>
      </c>
      <c r="K110" s="9">
        <v>116.29</v>
      </c>
      <c r="L110" s="9">
        <v>42.03</v>
      </c>
      <c r="M110" s="9">
        <v>42.03</v>
      </c>
      <c r="N110">
        <v>88.06</v>
      </c>
      <c r="O110">
        <v>11.94</v>
      </c>
      <c r="P110">
        <v>28.6</v>
      </c>
      <c r="Q110">
        <v>60.2</v>
      </c>
    </row>
    <row r="111" spans="1:17" x14ac:dyDescent="0.2">
      <c r="A111" t="s">
        <v>139</v>
      </c>
      <c r="B111" t="s">
        <v>137</v>
      </c>
      <c r="C111">
        <v>2011</v>
      </c>
      <c r="D111" s="10">
        <v>1587003.9909999999</v>
      </c>
      <c r="E111" s="10">
        <v>1388942.5220000001</v>
      </c>
      <c r="F111" s="10">
        <v>198061.46900000001</v>
      </c>
      <c r="G111" s="8">
        <v>432</v>
      </c>
      <c r="H111" s="8">
        <v>205</v>
      </c>
      <c r="I111" s="8">
        <v>637</v>
      </c>
      <c r="J111" s="9">
        <v>31.1</v>
      </c>
      <c r="K111" s="9">
        <v>103.5</v>
      </c>
      <c r="L111" s="9">
        <v>40.14</v>
      </c>
      <c r="M111" s="9">
        <v>40.14</v>
      </c>
      <c r="N111">
        <v>87.52</v>
      </c>
      <c r="O111">
        <v>12.48</v>
      </c>
      <c r="P111">
        <v>27.6</v>
      </c>
      <c r="Q111">
        <v>57.7</v>
      </c>
    </row>
    <row r="112" spans="1:17" x14ac:dyDescent="0.2">
      <c r="A112" t="s">
        <v>140</v>
      </c>
      <c r="B112" t="s">
        <v>137</v>
      </c>
      <c r="C112">
        <v>2012</v>
      </c>
      <c r="D112" s="10">
        <v>1571933.3840000001</v>
      </c>
      <c r="E112" s="10">
        <v>1374057.9979999999</v>
      </c>
      <c r="F112" s="10">
        <v>197875.386</v>
      </c>
      <c r="G112" s="8">
        <v>432</v>
      </c>
      <c r="H112" s="8">
        <v>194.5</v>
      </c>
      <c r="I112" s="8">
        <v>626.5</v>
      </c>
      <c r="J112" s="9">
        <v>31.44</v>
      </c>
      <c r="K112" s="9">
        <v>98.29</v>
      </c>
      <c r="L112" s="9">
        <v>39.86</v>
      </c>
      <c r="M112" s="9">
        <v>39.86</v>
      </c>
      <c r="N112">
        <v>87.41</v>
      </c>
      <c r="O112">
        <v>12.59</v>
      </c>
      <c r="P112">
        <v>26.7</v>
      </c>
      <c r="Q112">
        <v>60.5</v>
      </c>
    </row>
    <row r="113" spans="1:17" x14ac:dyDescent="0.2">
      <c r="A113" t="s">
        <v>141</v>
      </c>
      <c r="B113" t="s">
        <v>137</v>
      </c>
      <c r="C113">
        <v>2013</v>
      </c>
      <c r="D113" s="10">
        <v>1704807.446</v>
      </c>
      <c r="E113" s="10">
        <v>1482130.4450000001</v>
      </c>
      <c r="F113" s="10">
        <v>222677.00099999999</v>
      </c>
      <c r="G113" s="8">
        <v>432</v>
      </c>
      <c r="H113" s="8">
        <v>232</v>
      </c>
      <c r="I113" s="8">
        <v>664</v>
      </c>
      <c r="J113" s="9">
        <v>29.15</v>
      </c>
      <c r="K113" s="9">
        <v>104.19</v>
      </c>
      <c r="L113" s="9">
        <v>38.950000000000003</v>
      </c>
      <c r="M113" s="9">
        <v>38.950000000000003</v>
      </c>
      <c r="N113">
        <v>86.94</v>
      </c>
      <c r="O113">
        <v>13.06</v>
      </c>
      <c r="P113">
        <v>25.4</v>
      </c>
      <c r="Q113">
        <v>57.4</v>
      </c>
    </row>
    <row r="114" spans="1:17" x14ac:dyDescent="0.2">
      <c r="A114" t="s">
        <v>142</v>
      </c>
      <c r="B114" t="s">
        <v>137</v>
      </c>
      <c r="C114">
        <v>2014</v>
      </c>
      <c r="D114" s="10">
        <v>1649931.1939999999</v>
      </c>
      <c r="E114" s="10">
        <v>1426697.2790000001</v>
      </c>
      <c r="F114" s="10">
        <v>223233.91500000001</v>
      </c>
      <c r="G114" s="8">
        <v>432</v>
      </c>
      <c r="H114" s="8">
        <v>195.5</v>
      </c>
      <c r="I114" s="8">
        <v>627.5</v>
      </c>
      <c r="J114" s="9">
        <v>30.28</v>
      </c>
      <c r="K114" s="9">
        <v>87.58</v>
      </c>
      <c r="L114" s="9">
        <v>38.03</v>
      </c>
      <c r="M114" s="9">
        <v>38.03</v>
      </c>
      <c r="N114">
        <v>86.47</v>
      </c>
      <c r="O114">
        <v>13.53</v>
      </c>
      <c r="P114">
        <v>28.4</v>
      </c>
      <c r="Q114">
        <v>61.9</v>
      </c>
    </row>
    <row r="115" spans="1:17" x14ac:dyDescent="0.2">
      <c r="A115" t="s">
        <v>143</v>
      </c>
      <c r="B115" t="s">
        <v>137</v>
      </c>
      <c r="C115">
        <v>2015</v>
      </c>
      <c r="D115" s="11">
        <v>1704729.9989999901</v>
      </c>
      <c r="E115" s="11">
        <v>1469298.25299999</v>
      </c>
      <c r="F115" s="10">
        <v>235431.74600000001</v>
      </c>
      <c r="G115" s="8">
        <v>432</v>
      </c>
      <c r="H115" s="8">
        <v>217</v>
      </c>
      <c r="I115" s="8">
        <v>649</v>
      </c>
      <c r="J115" s="9">
        <v>29.4</v>
      </c>
      <c r="K115" s="9">
        <v>92.17</v>
      </c>
      <c r="L115" s="9">
        <v>38.07</v>
      </c>
      <c r="M115" s="9">
        <v>38.07</v>
      </c>
      <c r="N115">
        <v>86.19</v>
      </c>
      <c r="O115">
        <v>13.81</v>
      </c>
      <c r="P115">
        <v>26.7</v>
      </c>
      <c r="Q115">
        <v>54.9</v>
      </c>
    </row>
    <row r="116" spans="1:17" x14ac:dyDescent="0.2">
      <c r="A116" t="s">
        <v>144</v>
      </c>
      <c r="B116" t="s">
        <v>137</v>
      </c>
      <c r="C116">
        <v>2016</v>
      </c>
      <c r="D116" s="10">
        <v>1553594.375</v>
      </c>
      <c r="E116" s="10">
        <v>1331874.6100000001</v>
      </c>
      <c r="F116" s="10">
        <v>221719.76500000001</v>
      </c>
      <c r="G116" s="8">
        <v>432</v>
      </c>
      <c r="H116" s="8">
        <v>190.5</v>
      </c>
      <c r="I116" s="8">
        <v>622.5</v>
      </c>
      <c r="J116" s="9">
        <v>32.44</v>
      </c>
      <c r="K116" s="9">
        <v>85.92</v>
      </c>
      <c r="L116" s="9">
        <v>40.07</v>
      </c>
      <c r="M116" s="9">
        <v>40.07</v>
      </c>
      <c r="N116">
        <v>85.73</v>
      </c>
      <c r="O116">
        <v>14.27</v>
      </c>
      <c r="P116">
        <v>25.9</v>
      </c>
      <c r="Q116">
        <v>60.3</v>
      </c>
    </row>
    <row r="117" spans="1:17" x14ac:dyDescent="0.2">
      <c r="A117" t="s">
        <v>145</v>
      </c>
      <c r="B117" t="s">
        <v>137</v>
      </c>
      <c r="C117">
        <v>2017</v>
      </c>
      <c r="D117" s="10">
        <v>1576319</v>
      </c>
      <c r="E117" s="10">
        <v>1341857</v>
      </c>
      <c r="F117" s="10">
        <v>234462</v>
      </c>
      <c r="G117" s="8">
        <v>432</v>
      </c>
      <c r="H117" s="8">
        <v>235.5</v>
      </c>
      <c r="I117" s="8">
        <v>667.5</v>
      </c>
      <c r="J117" s="9">
        <v>32.19</v>
      </c>
      <c r="K117" s="9">
        <v>100.44</v>
      </c>
      <c r="L117" s="9">
        <v>42.35</v>
      </c>
      <c r="M117" s="9">
        <v>42.35</v>
      </c>
      <c r="N117">
        <v>85.13</v>
      </c>
      <c r="O117">
        <v>14.87</v>
      </c>
      <c r="P117">
        <v>22.7</v>
      </c>
    </row>
    <row r="118" spans="1:17" x14ac:dyDescent="0.2">
      <c r="A118" t="s">
        <v>146</v>
      </c>
      <c r="B118" t="s">
        <v>147</v>
      </c>
      <c r="C118">
        <v>2009</v>
      </c>
      <c r="D118" s="10">
        <v>12891618.643999999</v>
      </c>
      <c r="E118" s="10">
        <v>11323887.040999999</v>
      </c>
      <c r="F118" s="10">
        <v>1567731.6029999999</v>
      </c>
      <c r="G118" s="8">
        <v>608.5</v>
      </c>
      <c r="H118" s="8">
        <v>2006</v>
      </c>
      <c r="I118" s="8">
        <v>2614.5</v>
      </c>
      <c r="J118" s="9">
        <v>5.37</v>
      </c>
      <c r="K118" s="9">
        <v>127.96</v>
      </c>
      <c r="L118" s="9">
        <v>20.28</v>
      </c>
      <c r="M118" s="9">
        <v>20.28</v>
      </c>
      <c r="N118">
        <v>87.84</v>
      </c>
      <c r="O118">
        <v>12.16</v>
      </c>
      <c r="Q118">
        <v>69.099999999999994</v>
      </c>
    </row>
    <row r="119" spans="1:17" x14ac:dyDescent="0.2">
      <c r="A119" t="s">
        <v>148</v>
      </c>
      <c r="B119" t="s">
        <v>147</v>
      </c>
      <c r="C119">
        <v>2010</v>
      </c>
      <c r="D119" s="10">
        <v>12899291.880999999</v>
      </c>
      <c r="E119" s="10">
        <v>11310436.771</v>
      </c>
      <c r="F119" s="10">
        <v>1588855.11</v>
      </c>
      <c r="G119" s="8">
        <v>541.5</v>
      </c>
      <c r="H119" s="8">
        <v>1912</v>
      </c>
      <c r="I119" s="8">
        <v>2453.5</v>
      </c>
      <c r="J119" s="9">
        <v>4.79</v>
      </c>
      <c r="K119" s="9">
        <v>120.34</v>
      </c>
      <c r="L119" s="9">
        <v>19.02</v>
      </c>
      <c r="M119" s="9">
        <v>19.02</v>
      </c>
      <c r="N119">
        <v>87.68</v>
      </c>
      <c r="O119">
        <v>12.32</v>
      </c>
      <c r="P119">
        <v>27.5</v>
      </c>
      <c r="Q119">
        <v>63.9</v>
      </c>
    </row>
    <row r="120" spans="1:17" x14ac:dyDescent="0.2">
      <c r="A120" t="s">
        <v>149</v>
      </c>
      <c r="B120" t="s">
        <v>147</v>
      </c>
      <c r="C120">
        <v>2011</v>
      </c>
      <c r="D120" s="10">
        <v>12734173.407</v>
      </c>
      <c r="E120" s="10">
        <v>11150233.557</v>
      </c>
      <c r="F120" s="10">
        <v>1583939.85</v>
      </c>
      <c r="G120" s="8">
        <v>602</v>
      </c>
      <c r="H120" s="8">
        <v>2049</v>
      </c>
      <c r="I120" s="8">
        <v>2651</v>
      </c>
      <c r="J120" s="9">
        <v>5.4</v>
      </c>
      <c r="K120" s="9">
        <v>129.36000000000001</v>
      </c>
      <c r="L120" s="9">
        <v>20.82</v>
      </c>
      <c r="M120" s="9">
        <v>20.82</v>
      </c>
      <c r="N120">
        <v>87.56</v>
      </c>
      <c r="O120">
        <v>12.44</v>
      </c>
      <c r="P120">
        <v>29.6</v>
      </c>
      <c r="Q120">
        <v>59.1</v>
      </c>
    </row>
    <row r="121" spans="1:17" x14ac:dyDescent="0.2">
      <c r="A121" t="s">
        <v>150</v>
      </c>
      <c r="B121" t="s">
        <v>147</v>
      </c>
      <c r="C121">
        <v>2012</v>
      </c>
      <c r="D121" s="10">
        <v>12860702.242000001</v>
      </c>
      <c r="E121" s="10">
        <v>11229183.033</v>
      </c>
      <c r="F121" s="10">
        <v>1631519.209</v>
      </c>
      <c r="G121" s="8">
        <v>582.5</v>
      </c>
      <c r="H121" s="8">
        <v>1983</v>
      </c>
      <c r="I121" s="8">
        <v>2565.5</v>
      </c>
      <c r="J121" s="9">
        <v>5.19</v>
      </c>
      <c r="K121" s="9">
        <v>121.54</v>
      </c>
      <c r="L121" s="9">
        <v>19.95</v>
      </c>
      <c r="M121" s="9">
        <v>19.95</v>
      </c>
      <c r="N121">
        <v>87.31</v>
      </c>
      <c r="O121">
        <v>12.69</v>
      </c>
      <c r="P121">
        <v>32.200000000000003</v>
      </c>
      <c r="Q121">
        <v>65</v>
      </c>
    </row>
    <row r="122" spans="1:17" x14ac:dyDescent="0.2">
      <c r="A122" t="s">
        <v>151</v>
      </c>
      <c r="B122" t="s">
        <v>147</v>
      </c>
      <c r="C122">
        <v>2013</v>
      </c>
      <c r="D122" s="10">
        <v>12784651.502</v>
      </c>
      <c r="E122" s="10">
        <v>11145839.058</v>
      </c>
      <c r="F122" s="10">
        <v>1638812.4439999999</v>
      </c>
      <c r="G122" s="8">
        <v>563</v>
      </c>
      <c r="H122" s="8">
        <v>2122</v>
      </c>
      <c r="I122" s="8">
        <v>2685</v>
      </c>
      <c r="J122" s="9">
        <v>5.05</v>
      </c>
      <c r="K122" s="9">
        <v>129.47999999999999</v>
      </c>
      <c r="L122" s="9">
        <v>21</v>
      </c>
      <c r="M122" s="9">
        <v>21</v>
      </c>
      <c r="N122">
        <v>87.18</v>
      </c>
      <c r="O122">
        <v>12.82</v>
      </c>
      <c r="P122">
        <v>29.6</v>
      </c>
      <c r="Q122">
        <v>60.3</v>
      </c>
    </row>
    <row r="123" spans="1:17" x14ac:dyDescent="0.2">
      <c r="A123" t="s">
        <v>152</v>
      </c>
      <c r="B123" t="s">
        <v>147</v>
      </c>
      <c r="C123">
        <v>2014</v>
      </c>
      <c r="D123" s="10">
        <v>12805905.584000001</v>
      </c>
      <c r="E123" s="10">
        <v>11136105.044</v>
      </c>
      <c r="F123" s="11">
        <v>1669800.53999999</v>
      </c>
      <c r="G123" s="8">
        <v>602.5</v>
      </c>
      <c r="H123" s="8">
        <v>2125</v>
      </c>
      <c r="I123" s="8">
        <v>2727.5</v>
      </c>
      <c r="J123" s="9">
        <v>5.41</v>
      </c>
      <c r="K123" s="9">
        <v>127.26</v>
      </c>
      <c r="L123" s="9">
        <v>21.3</v>
      </c>
      <c r="M123" s="9">
        <v>21.3</v>
      </c>
      <c r="N123">
        <v>86.96</v>
      </c>
      <c r="O123">
        <v>13.04</v>
      </c>
      <c r="P123">
        <v>27.1</v>
      </c>
      <c r="Q123">
        <v>60.1</v>
      </c>
    </row>
    <row r="124" spans="1:17" x14ac:dyDescent="0.2">
      <c r="A124" t="s">
        <v>153</v>
      </c>
      <c r="B124" t="s">
        <v>147</v>
      </c>
      <c r="C124">
        <v>2015</v>
      </c>
      <c r="D124" s="10">
        <v>13217379.333000001</v>
      </c>
      <c r="E124" s="10">
        <v>11442363.369999999</v>
      </c>
      <c r="F124" s="10">
        <v>1775015.963</v>
      </c>
      <c r="G124" s="8">
        <v>587.5</v>
      </c>
      <c r="H124" s="8">
        <v>1997</v>
      </c>
      <c r="I124" s="8">
        <v>2584.5</v>
      </c>
      <c r="J124" s="9">
        <v>5.13</v>
      </c>
      <c r="K124" s="9">
        <v>112.51</v>
      </c>
      <c r="L124" s="9">
        <v>19.55</v>
      </c>
      <c r="M124" s="9">
        <v>19.55</v>
      </c>
      <c r="N124">
        <v>86.57</v>
      </c>
      <c r="O124">
        <v>13.43</v>
      </c>
      <c r="P124">
        <v>28.6</v>
      </c>
      <c r="Q124">
        <v>59.3</v>
      </c>
    </row>
    <row r="125" spans="1:17" x14ac:dyDescent="0.2">
      <c r="A125" t="s">
        <v>154</v>
      </c>
      <c r="B125" t="s">
        <v>147</v>
      </c>
      <c r="C125">
        <v>2016</v>
      </c>
      <c r="D125" s="10">
        <v>12855456.893999999</v>
      </c>
      <c r="E125" s="10">
        <v>11069105.147</v>
      </c>
      <c r="F125" s="10">
        <v>1786351.747</v>
      </c>
      <c r="G125" s="8">
        <v>615.5</v>
      </c>
      <c r="H125" s="8">
        <v>1799</v>
      </c>
      <c r="I125" s="8">
        <v>2414.5</v>
      </c>
      <c r="J125" s="9">
        <v>5.56</v>
      </c>
      <c r="K125" s="9">
        <v>100.71</v>
      </c>
      <c r="L125" s="9">
        <v>18.78</v>
      </c>
      <c r="M125" s="9">
        <v>18.78</v>
      </c>
      <c r="N125">
        <v>86.1</v>
      </c>
      <c r="O125">
        <v>13.9</v>
      </c>
      <c r="P125">
        <v>28</v>
      </c>
      <c r="Q125">
        <v>62.3</v>
      </c>
    </row>
    <row r="126" spans="1:17" x14ac:dyDescent="0.2">
      <c r="A126" t="s">
        <v>155</v>
      </c>
      <c r="B126" t="s">
        <v>147</v>
      </c>
      <c r="C126">
        <v>2017</v>
      </c>
      <c r="D126" s="10">
        <v>13030989</v>
      </c>
      <c r="E126" s="10">
        <v>11159510</v>
      </c>
      <c r="F126" s="10">
        <v>1871479</v>
      </c>
      <c r="G126" s="8">
        <v>598.5</v>
      </c>
      <c r="H126" s="8">
        <v>2026</v>
      </c>
      <c r="I126" s="8">
        <v>2624.5</v>
      </c>
      <c r="J126" s="9">
        <v>5.36</v>
      </c>
      <c r="K126" s="9">
        <v>108.26</v>
      </c>
      <c r="L126" s="9">
        <v>20.14</v>
      </c>
      <c r="M126" s="9">
        <v>20.14</v>
      </c>
      <c r="N126">
        <v>85.64</v>
      </c>
      <c r="O126">
        <v>14.36</v>
      </c>
      <c r="P126">
        <v>23.5</v>
      </c>
    </row>
    <row r="127" spans="1:17" x14ac:dyDescent="0.2">
      <c r="A127" t="s">
        <v>156</v>
      </c>
      <c r="B127" t="s">
        <v>157</v>
      </c>
      <c r="C127">
        <v>2009</v>
      </c>
      <c r="D127" s="10">
        <v>6398660.4910000004</v>
      </c>
      <c r="E127" s="10">
        <v>5591421.3760000002</v>
      </c>
      <c r="F127" s="10">
        <v>807239.11499999999</v>
      </c>
      <c r="G127" s="8">
        <v>459</v>
      </c>
      <c r="H127" s="8">
        <v>949</v>
      </c>
      <c r="I127" s="8">
        <v>1408</v>
      </c>
      <c r="J127" s="9">
        <v>8.2100000000000009</v>
      </c>
      <c r="K127" s="9">
        <v>117.56</v>
      </c>
      <c r="L127" s="9">
        <v>22</v>
      </c>
      <c r="M127" s="9">
        <v>22</v>
      </c>
      <c r="N127">
        <v>87.38</v>
      </c>
      <c r="O127">
        <v>12.62</v>
      </c>
      <c r="Q127">
        <v>69.900000000000006</v>
      </c>
    </row>
    <row r="128" spans="1:17" x14ac:dyDescent="0.2">
      <c r="A128" t="s">
        <v>158</v>
      </c>
      <c r="B128" t="s">
        <v>157</v>
      </c>
      <c r="C128">
        <v>2010</v>
      </c>
      <c r="D128" s="10">
        <v>6482823.2000000002</v>
      </c>
      <c r="E128" s="10">
        <v>5657503.4060000004</v>
      </c>
      <c r="F128" s="10">
        <v>825319.79399999999</v>
      </c>
      <c r="G128" s="8">
        <v>462.5</v>
      </c>
      <c r="H128" s="8">
        <v>973.5</v>
      </c>
      <c r="I128" s="8">
        <v>1436</v>
      </c>
      <c r="J128" s="9">
        <v>8.17</v>
      </c>
      <c r="K128" s="9">
        <v>117.95</v>
      </c>
      <c r="L128" s="9">
        <v>22.15</v>
      </c>
      <c r="M128" s="9">
        <v>22.15</v>
      </c>
      <c r="N128">
        <v>87.27</v>
      </c>
      <c r="O128">
        <v>12.73</v>
      </c>
      <c r="P128">
        <v>31.7</v>
      </c>
      <c r="Q128">
        <v>65.8</v>
      </c>
    </row>
    <row r="129" spans="1:17" x14ac:dyDescent="0.2">
      <c r="A129" t="s">
        <v>159</v>
      </c>
      <c r="B129" t="s">
        <v>157</v>
      </c>
      <c r="C129">
        <v>2011</v>
      </c>
      <c r="D129" s="10">
        <v>6259957.1619999995</v>
      </c>
      <c r="E129" s="10">
        <v>5458678.6370000001</v>
      </c>
      <c r="F129" s="10">
        <v>801278.52500000002</v>
      </c>
      <c r="G129" s="8">
        <v>439.5</v>
      </c>
      <c r="H129" s="8">
        <v>812</v>
      </c>
      <c r="I129" s="8">
        <v>1251.5</v>
      </c>
      <c r="J129" s="9">
        <v>8.0500000000000007</v>
      </c>
      <c r="K129" s="9">
        <v>101.34</v>
      </c>
      <c r="L129" s="9">
        <v>19.989999999999998</v>
      </c>
      <c r="M129" s="9">
        <v>19.989999999999998</v>
      </c>
      <c r="N129">
        <v>87.2</v>
      </c>
      <c r="O129">
        <v>12.8</v>
      </c>
      <c r="P129">
        <v>32</v>
      </c>
      <c r="Q129">
        <v>62.1</v>
      </c>
    </row>
    <row r="130" spans="1:17" x14ac:dyDescent="0.2">
      <c r="A130" t="s">
        <v>160</v>
      </c>
      <c r="B130" t="s">
        <v>157</v>
      </c>
      <c r="C130">
        <v>2012</v>
      </c>
      <c r="D130" s="10">
        <v>6522845.199</v>
      </c>
      <c r="E130" s="10">
        <v>5664927.3449999997</v>
      </c>
      <c r="F130" s="10">
        <v>857917.85400000005</v>
      </c>
      <c r="G130" s="8">
        <v>432</v>
      </c>
      <c r="H130" s="8">
        <v>791.5</v>
      </c>
      <c r="I130" s="8">
        <v>1223.5</v>
      </c>
      <c r="J130" s="9">
        <v>7.63</v>
      </c>
      <c r="K130" s="9">
        <v>92.26</v>
      </c>
      <c r="L130" s="9">
        <v>18.760000000000002</v>
      </c>
      <c r="M130" s="9">
        <v>18.760000000000002</v>
      </c>
      <c r="N130">
        <v>86.85</v>
      </c>
      <c r="O130">
        <v>13.15</v>
      </c>
      <c r="P130">
        <v>29.2</v>
      </c>
      <c r="Q130">
        <v>64.599999999999994</v>
      </c>
    </row>
    <row r="131" spans="1:17" x14ac:dyDescent="0.2">
      <c r="A131" t="s">
        <v>161</v>
      </c>
      <c r="B131" t="s">
        <v>157</v>
      </c>
      <c r="C131">
        <v>2013</v>
      </c>
      <c r="D131" s="10">
        <v>6568753.8650000002</v>
      </c>
      <c r="E131" s="10">
        <v>5698921.2680000002</v>
      </c>
      <c r="F131" s="11">
        <v>869832.59699999995</v>
      </c>
      <c r="G131" s="8">
        <v>469</v>
      </c>
      <c r="H131" s="8">
        <v>914.5</v>
      </c>
      <c r="I131" s="8">
        <v>1383.5</v>
      </c>
      <c r="J131" s="9">
        <v>8.23</v>
      </c>
      <c r="K131" s="9">
        <v>105.14</v>
      </c>
      <c r="L131" s="9">
        <v>21.06</v>
      </c>
      <c r="M131" s="9">
        <v>21.06</v>
      </c>
      <c r="N131">
        <v>86.76</v>
      </c>
      <c r="O131">
        <v>13.24</v>
      </c>
      <c r="P131">
        <v>26.3</v>
      </c>
      <c r="Q131">
        <v>61.1</v>
      </c>
    </row>
    <row r="132" spans="1:17" x14ac:dyDescent="0.2">
      <c r="A132" t="s">
        <v>162</v>
      </c>
      <c r="B132" t="s">
        <v>157</v>
      </c>
      <c r="C132">
        <v>2014</v>
      </c>
      <c r="D132" s="10">
        <v>6372037.4550000001</v>
      </c>
      <c r="E132" s="10">
        <v>5505108.7290000003</v>
      </c>
      <c r="F132" s="10">
        <v>866928.72600000002</v>
      </c>
      <c r="G132" s="8">
        <v>486.5</v>
      </c>
      <c r="H132" s="8">
        <v>832</v>
      </c>
      <c r="I132" s="8">
        <v>1318.5</v>
      </c>
      <c r="J132" s="9">
        <v>8.84</v>
      </c>
      <c r="K132" s="9">
        <v>95.97</v>
      </c>
      <c r="L132" s="9">
        <v>20.69</v>
      </c>
      <c r="M132" s="9">
        <v>20.69</v>
      </c>
      <c r="N132">
        <v>86.39</v>
      </c>
      <c r="O132">
        <v>13.61</v>
      </c>
      <c r="P132">
        <v>29.7</v>
      </c>
      <c r="Q132">
        <v>64.3</v>
      </c>
    </row>
    <row r="133" spans="1:17" x14ac:dyDescent="0.2">
      <c r="A133" t="s">
        <v>163</v>
      </c>
      <c r="B133" t="s">
        <v>157</v>
      </c>
      <c r="C133">
        <v>2015</v>
      </c>
      <c r="D133" s="10">
        <v>6540259.2740000002</v>
      </c>
      <c r="E133" s="10">
        <v>5628629.6090000002</v>
      </c>
      <c r="F133" s="10">
        <v>911629.66500000004</v>
      </c>
      <c r="G133" s="8">
        <v>440.5</v>
      </c>
      <c r="H133" s="8">
        <v>881.5</v>
      </c>
      <c r="I133" s="8">
        <v>1322</v>
      </c>
      <c r="J133" s="9">
        <v>7.83</v>
      </c>
      <c r="K133" s="9">
        <v>96.69</v>
      </c>
      <c r="L133" s="9">
        <v>20.21</v>
      </c>
      <c r="M133" s="9">
        <v>20.21</v>
      </c>
      <c r="N133">
        <v>86.06</v>
      </c>
      <c r="O133">
        <v>13.94</v>
      </c>
      <c r="P133">
        <v>28.1</v>
      </c>
      <c r="Q133">
        <v>62.1</v>
      </c>
    </row>
    <row r="134" spans="1:17" x14ac:dyDescent="0.2">
      <c r="A134" t="s">
        <v>164</v>
      </c>
      <c r="B134" t="s">
        <v>157</v>
      </c>
      <c r="C134">
        <v>2016</v>
      </c>
      <c r="D134" s="10">
        <v>6685446.1830000002</v>
      </c>
      <c r="E134" s="10">
        <v>5728357.8609999996</v>
      </c>
      <c r="F134" s="10">
        <v>957088.32200000004</v>
      </c>
      <c r="G134" s="8">
        <v>472.5</v>
      </c>
      <c r="H134" s="8">
        <v>762.5</v>
      </c>
      <c r="I134" s="8">
        <v>1235</v>
      </c>
      <c r="J134" s="9">
        <v>8.25</v>
      </c>
      <c r="K134" s="9">
        <v>79.67</v>
      </c>
      <c r="L134" s="9">
        <v>18.47</v>
      </c>
      <c r="M134" s="9">
        <v>18.47</v>
      </c>
      <c r="N134">
        <v>85.68</v>
      </c>
      <c r="O134">
        <v>14.32</v>
      </c>
      <c r="P134">
        <v>27.1</v>
      </c>
      <c r="Q134">
        <v>60</v>
      </c>
    </row>
    <row r="135" spans="1:17" x14ac:dyDescent="0.2">
      <c r="A135" t="s">
        <v>165</v>
      </c>
      <c r="B135" t="s">
        <v>157</v>
      </c>
      <c r="C135">
        <v>2017</v>
      </c>
      <c r="D135" s="10">
        <v>6761818</v>
      </c>
      <c r="E135" s="10">
        <v>5762349</v>
      </c>
      <c r="F135" s="10">
        <v>999469</v>
      </c>
      <c r="G135" s="8">
        <v>466.5</v>
      </c>
      <c r="H135" s="8">
        <v>895.5</v>
      </c>
      <c r="I135" s="8">
        <v>1362</v>
      </c>
      <c r="J135" s="9">
        <v>8.1</v>
      </c>
      <c r="K135" s="9">
        <v>89.6</v>
      </c>
      <c r="L135" s="9">
        <v>20.14</v>
      </c>
      <c r="M135" s="9">
        <v>20.14</v>
      </c>
      <c r="N135">
        <v>85.22</v>
      </c>
      <c r="O135">
        <v>14.78</v>
      </c>
      <c r="P135">
        <v>21.4</v>
      </c>
    </row>
    <row r="136" spans="1:17" x14ac:dyDescent="0.2">
      <c r="A136" t="s">
        <v>166</v>
      </c>
      <c r="B136" t="s">
        <v>167</v>
      </c>
      <c r="C136">
        <v>2009</v>
      </c>
      <c r="D136" s="10">
        <v>2972134.1340000001</v>
      </c>
      <c r="E136" s="10">
        <v>2535144.2409999999</v>
      </c>
      <c r="F136" s="10">
        <v>436989.89299999998</v>
      </c>
      <c r="G136" s="8">
        <v>445</v>
      </c>
      <c r="H136" s="8">
        <v>564.5</v>
      </c>
      <c r="I136" s="8">
        <v>1009.5</v>
      </c>
      <c r="J136" s="9">
        <v>17.55</v>
      </c>
      <c r="K136" s="9">
        <v>129.18</v>
      </c>
      <c r="L136" s="9">
        <v>33.97</v>
      </c>
      <c r="M136" s="9">
        <v>33.97</v>
      </c>
      <c r="N136">
        <v>85.3</v>
      </c>
      <c r="O136">
        <v>14.7</v>
      </c>
      <c r="Q136">
        <v>76.5</v>
      </c>
    </row>
    <row r="137" spans="1:17" x14ac:dyDescent="0.2">
      <c r="A137" t="s">
        <v>168</v>
      </c>
      <c r="B137" t="s">
        <v>167</v>
      </c>
      <c r="C137">
        <v>2010</v>
      </c>
      <c r="D137" s="10">
        <v>2995859.5580000002</v>
      </c>
      <c r="E137" s="10">
        <v>2553166.0150000001</v>
      </c>
      <c r="F137" s="10">
        <v>442693.54300000001</v>
      </c>
      <c r="G137" s="8">
        <v>432</v>
      </c>
      <c r="H137" s="8">
        <v>506</v>
      </c>
      <c r="I137" s="8">
        <v>938</v>
      </c>
      <c r="J137" s="9">
        <v>16.920000000000002</v>
      </c>
      <c r="K137" s="9">
        <v>114.3</v>
      </c>
      <c r="L137" s="9">
        <v>31.31</v>
      </c>
      <c r="M137" s="9">
        <v>31.31</v>
      </c>
      <c r="N137">
        <v>85.22</v>
      </c>
      <c r="O137">
        <v>14.78</v>
      </c>
      <c r="P137">
        <v>41</v>
      </c>
      <c r="Q137">
        <v>74.599999999999994</v>
      </c>
    </row>
    <row r="138" spans="1:17" x14ac:dyDescent="0.2">
      <c r="A138" t="s">
        <v>169</v>
      </c>
      <c r="B138" t="s">
        <v>167</v>
      </c>
      <c r="C138">
        <v>2011</v>
      </c>
      <c r="D138" s="10">
        <v>2979979.1949999998</v>
      </c>
      <c r="E138" s="10">
        <v>2541335.9500000002</v>
      </c>
      <c r="F138" s="10">
        <v>438643.245</v>
      </c>
      <c r="G138" s="8">
        <v>432</v>
      </c>
      <c r="H138" s="8">
        <v>569</v>
      </c>
      <c r="I138" s="8">
        <v>1001</v>
      </c>
      <c r="J138" s="9">
        <v>17</v>
      </c>
      <c r="K138" s="9">
        <v>129.72</v>
      </c>
      <c r="L138" s="9">
        <v>33.590000000000003</v>
      </c>
      <c r="M138" s="9">
        <v>33.590000000000003</v>
      </c>
      <c r="N138">
        <v>85.28</v>
      </c>
      <c r="O138">
        <v>14.72</v>
      </c>
      <c r="P138">
        <v>38.4</v>
      </c>
      <c r="Q138">
        <v>75.900000000000006</v>
      </c>
    </row>
    <row r="139" spans="1:17" x14ac:dyDescent="0.2">
      <c r="A139" t="s">
        <v>170</v>
      </c>
      <c r="B139" t="s">
        <v>167</v>
      </c>
      <c r="C139">
        <v>2012</v>
      </c>
      <c r="D139" s="10">
        <v>3163221.591</v>
      </c>
      <c r="E139" s="10">
        <v>2694266.0920000002</v>
      </c>
      <c r="F139" s="10">
        <v>468955.49900000001</v>
      </c>
      <c r="G139" s="8">
        <v>432</v>
      </c>
      <c r="H139" s="8">
        <v>589.5</v>
      </c>
      <c r="I139" s="8">
        <v>1021.5</v>
      </c>
      <c r="J139" s="9">
        <v>16.03</v>
      </c>
      <c r="K139" s="9">
        <v>125.7</v>
      </c>
      <c r="L139" s="9">
        <v>32.29</v>
      </c>
      <c r="M139" s="9">
        <v>32.29</v>
      </c>
      <c r="N139">
        <v>85.17</v>
      </c>
      <c r="O139">
        <v>14.83</v>
      </c>
      <c r="P139">
        <v>38.299999999999997</v>
      </c>
      <c r="Q139">
        <v>73.900000000000006</v>
      </c>
    </row>
    <row r="140" spans="1:17" x14ac:dyDescent="0.2">
      <c r="A140" t="s">
        <v>171</v>
      </c>
      <c r="B140" t="s">
        <v>167</v>
      </c>
      <c r="C140">
        <v>2013</v>
      </c>
      <c r="D140" s="10">
        <v>3011086.9640000002</v>
      </c>
      <c r="E140" s="10">
        <v>2562945.2779999999</v>
      </c>
      <c r="F140" s="10">
        <v>448141.68599999999</v>
      </c>
      <c r="G140" s="8">
        <v>432</v>
      </c>
      <c r="H140" s="8">
        <v>679.5</v>
      </c>
      <c r="I140" s="8">
        <v>1111.5</v>
      </c>
      <c r="J140" s="9">
        <v>16.86</v>
      </c>
      <c r="K140" s="9">
        <v>151.63</v>
      </c>
      <c r="L140" s="9">
        <v>36.909999999999997</v>
      </c>
      <c r="M140" s="9">
        <v>36.909999999999997</v>
      </c>
      <c r="N140">
        <v>85.12</v>
      </c>
      <c r="O140">
        <v>14.88</v>
      </c>
      <c r="P140">
        <v>33.700000000000003</v>
      </c>
      <c r="Q140">
        <v>69.900000000000006</v>
      </c>
    </row>
    <row r="141" spans="1:17" x14ac:dyDescent="0.2">
      <c r="A141" t="s">
        <v>172</v>
      </c>
      <c r="B141" t="s">
        <v>167</v>
      </c>
      <c r="C141">
        <v>2014</v>
      </c>
      <c r="D141" s="11">
        <v>2996456.7349999999</v>
      </c>
      <c r="E141" s="10">
        <v>2545404.7889999999</v>
      </c>
      <c r="F141" s="10">
        <v>451051.946</v>
      </c>
      <c r="G141" s="8">
        <v>432</v>
      </c>
      <c r="H141" s="8">
        <v>501</v>
      </c>
      <c r="I141" s="8">
        <v>933</v>
      </c>
      <c r="J141" s="9">
        <v>16.97</v>
      </c>
      <c r="K141" s="9">
        <v>111.07</v>
      </c>
      <c r="L141" s="9">
        <v>31.14</v>
      </c>
      <c r="M141" s="9">
        <v>31.14</v>
      </c>
      <c r="N141">
        <v>84.95</v>
      </c>
      <c r="O141">
        <v>15.05</v>
      </c>
      <c r="P141">
        <v>38.200000000000003</v>
      </c>
      <c r="Q141">
        <v>76.5</v>
      </c>
    </row>
    <row r="142" spans="1:17" x14ac:dyDescent="0.2">
      <c r="A142" t="s">
        <v>173</v>
      </c>
      <c r="B142" t="s">
        <v>167</v>
      </c>
      <c r="C142">
        <v>2015</v>
      </c>
      <c r="D142" s="10">
        <v>3309659.8110000002</v>
      </c>
      <c r="E142" s="10">
        <v>2795195.3089999999</v>
      </c>
      <c r="F142" s="10">
        <v>514464.50199999998</v>
      </c>
      <c r="G142" s="8">
        <v>438.5</v>
      </c>
      <c r="H142" s="8">
        <v>532</v>
      </c>
      <c r="I142" s="8">
        <v>970.5</v>
      </c>
      <c r="J142" s="9">
        <v>15.69</v>
      </c>
      <c r="K142" s="9">
        <v>103.41</v>
      </c>
      <c r="L142" s="9">
        <v>29.32</v>
      </c>
      <c r="M142" s="9">
        <v>29.32</v>
      </c>
      <c r="N142">
        <v>84.46</v>
      </c>
      <c r="O142">
        <v>15.54</v>
      </c>
      <c r="P142">
        <v>36.799999999999997</v>
      </c>
      <c r="Q142">
        <v>73.5</v>
      </c>
    </row>
    <row r="143" spans="1:17" x14ac:dyDescent="0.2">
      <c r="A143" t="s">
        <v>174</v>
      </c>
      <c r="B143" t="s">
        <v>167</v>
      </c>
      <c r="C143">
        <v>2016</v>
      </c>
      <c r="D143" s="10">
        <v>3128898.898</v>
      </c>
      <c r="E143" s="10">
        <v>2642515.4019999998</v>
      </c>
      <c r="F143" s="10">
        <v>486383.49599999998</v>
      </c>
      <c r="G143" s="8">
        <v>432</v>
      </c>
      <c r="H143" s="8">
        <v>443</v>
      </c>
      <c r="I143" s="8">
        <v>875</v>
      </c>
      <c r="J143" s="9">
        <v>16.350000000000001</v>
      </c>
      <c r="K143" s="9">
        <v>91.08</v>
      </c>
      <c r="L143" s="9">
        <v>27.97</v>
      </c>
      <c r="M143" s="9">
        <v>27.97</v>
      </c>
      <c r="N143">
        <v>84.46</v>
      </c>
      <c r="O143">
        <v>15.54</v>
      </c>
      <c r="P143">
        <v>34.4</v>
      </c>
      <c r="Q143">
        <v>68.8</v>
      </c>
    </row>
    <row r="144" spans="1:17" x14ac:dyDescent="0.2">
      <c r="A144" t="s">
        <v>175</v>
      </c>
      <c r="B144" t="s">
        <v>167</v>
      </c>
      <c r="C144">
        <v>2017</v>
      </c>
      <c r="D144" s="10">
        <v>3049856</v>
      </c>
      <c r="E144" s="10">
        <v>2563894</v>
      </c>
      <c r="F144" s="10">
        <v>485962</v>
      </c>
      <c r="G144" s="8">
        <v>432</v>
      </c>
      <c r="H144" s="8">
        <v>489.5</v>
      </c>
      <c r="I144" s="8">
        <v>921.5</v>
      </c>
      <c r="J144" s="9">
        <v>16.850000000000001</v>
      </c>
      <c r="K144" s="9">
        <v>100.73</v>
      </c>
      <c r="L144" s="9">
        <v>30.21</v>
      </c>
      <c r="M144" s="9">
        <v>30.21</v>
      </c>
      <c r="N144">
        <v>84.07</v>
      </c>
      <c r="O144">
        <v>15.93</v>
      </c>
      <c r="P144">
        <v>29.2</v>
      </c>
    </row>
    <row r="145" spans="1:17" x14ac:dyDescent="0.2">
      <c r="A145" t="s">
        <v>176</v>
      </c>
      <c r="B145" t="s">
        <v>177</v>
      </c>
      <c r="C145">
        <v>2009</v>
      </c>
      <c r="D145" s="10">
        <v>2793166.1370000001</v>
      </c>
      <c r="E145" s="10">
        <v>2429989.94</v>
      </c>
      <c r="F145" s="10">
        <v>363176.19699999999</v>
      </c>
      <c r="G145" s="8">
        <v>432</v>
      </c>
      <c r="H145" s="8">
        <v>512</v>
      </c>
      <c r="I145" s="8">
        <v>944</v>
      </c>
      <c r="J145" s="9">
        <v>17.78</v>
      </c>
      <c r="K145" s="9">
        <v>140.97999999999999</v>
      </c>
      <c r="L145" s="9">
        <v>33.799999999999997</v>
      </c>
      <c r="M145" s="9">
        <v>33.799999999999997</v>
      </c>
      <c r="N145">
        <v>87</v>
      </c>
      <c r="O145">
        <v>13</v>
      </c>
      <c r="Q145">
        <v>72</v>
      </c>
    </row>
    <row r="146" spans="1:17" x14ac:dyDescent="0.2">
      <c r="A146" t="s">
        <v>178</v>
      </c>
      <c r="B146" t="s">
        <v>177</v>
      </c>
      <c r="C146">
        <v>2010</v>
      </c>
      <c r="D146" s="10">
        <v>2740952.2570000002</v>
      </c>
      <c r="E146" s="10">
        <v>2383014.7179999999</v>
      </c>
      <c r="F146" s="10">
        <v>357937.53899999999</v>
      </c>
      <c r="G146" s="8">
        <v>432</v>
      </c>
      <c r="H146" s="8">
        <v>478.5</v>
      </c>
      <c r="I146" s="8">
        <v>910.5</v>
      </c>
      <c r="J146" s="9">
        <v>18.13</v>
      </c>
      <c r="K146" s="9">
        <v>133.68</v>
      </c>
      <c r="L146" s="9">
        <v>33.22</v>
      </c>
      <c r="M146" s="9">
        <v>33.22</v>
      </c>
      <c r="N146">
        <v>86.94</v>
      </c>
      <c r="O146">
        <v>13.06</v>
      </c>
      <c r="P146">
        <v>35</v>
      </c>
      <c r="Q146">
        <v>71.900000000000006</v>
      </c>
    </row>
    <row r="147" spans="1:17" x14ac:dyDescent="0.2">
      <c r="A147" t="s">
        <v>179</v>
      </c>
      <c r="B147" t="s">
        <v>177</v>
      </c>
      <c r="C147">
        <v>2011</v>
      </c>
      <c r="D147" s="10">
        <v>2930681.1719999998</v>
      </c>
      <c r="E147" s="11">
        <v>2546491.4119999902</v>
      </c>
      <c r="F147" s="10">
        <v>384189.76</v>
      </c>
      <c r="G147" s="8">
        <v>432</v>
      </c>
      <c r="H147" s="8">
        <v>553</v>
      </c>
      <c r="I147" s="8">
        <v>985</v>
      </c>
      <c r="J147" s="9">
        <v>16.96</v>
      </c>
      <c r="K147" s="9">
        <v>143.94</v>
      </c>
      <c r="L147" s="9">
        <v>33.61</v>
      </c>
      <c r="M147" s="9">
        <v>33.61</v>
      </c>
      <c r="N147">
        <v>86.89</v>
      </c>
      <c r="O147">
        <v>13.11</v>
      </c>
      <c r="P147">
        <v>32.5</v>
      </c>
      <c r="Q147">
        <v>70.900000000000006</v>
      </c>
    </row>
    <row r="148" spans="1:17" x14ac:dyDescent="0.2">
      <c r="A148" t="s">
        <v>180</v>
      </c>
      <c r="B148" t="s">
        <v>177</v>
      </c>
      <c r="C148">
        <v>2012</v>
      </c>
      <c r="D148" s="10">
        <v>2926691.1349999998</v>
      </c>
      <c r="E148" s="10">
        <v>2536657.949</v>
      </c>
      <c r="F148" s="10">
        <v>390033.18599999999</v>
      </c>
      <c r="G148" s="8">
        <v>432</v>
      </c>
      <c r="H148" s="8">
        <v>555</v>
      </c>
      <c r="I148" s="8">
        <v>987</v>
      </c>
      <c r="J148" s="9">
        <v>17.03</v>
      </c>
      <c r="K148" s="9">
        <v>142.30000000000001</v>
      </c>
      <c r="L148" s="9">
        <v>33.72</v>
      </c>
      <c r="M148" s="9">
        <v>33.72</v>
      </c>
      <c r="N148">
        <v>86.67</v>
      </c>
      <c r="O148">
        <v>13.33</v>
      </c>
      <c r="P148">
        <v>30</v>
      </c>
      <c r="Q148">
        <v>65.3</v>
      </c>
    </row>
    <row r="149" spans="1:17" x14ac:dyDescent="0.2">
      <c r="A149" t="s">
        <v>181</v>
      </c>
      <c r="B149" t="s">
        <v>177</v>
      </c>
      <c r="C149">
        <v>2013</v>
      </c>
      <c r="D149" s="10">
        <v>2872669.878</v>
      </c>
      <c r="E149" s="10">
        <v>2481355.14</v>
      </c>
      <c r="F149" s="10">
        <v>391314.73800000001</v>
      </c>
      <c r="G149" s="8">
        <v>438.5</v>
      </c>
      <c r="H149" s="8">
        <v>600</v>
      </c>
      <c r="I149" s="8">
        <v>1038.5</v>
      </c>
      <c r="J149" s="9">
        <v>17.670000000000002</v>
      </c>
      <c r="K149" s="9">
        <v>153.33000000000001</v>
      </c>
      <c r="L149" s="9">
        <v>36.15</v>
      </c>
      <c r="M149" s="9">
        <v>36.15</v>
      </c>
      <c r="N149">
        <v>86.38</v>
      </c>
      <c r="O149">
        <v>13.62</v>
      </c>
      <c r="P149">
        <v>30.1</v>
      </c>
      <c r="Q149">
        <v>64.900000000000006</v>
      </c>
    </row>
    <row r="150" spans="1:17" x14ac:dyDescent="0.2">
      <c r="A150" t="s">
        <v>182</v>
      </c>
      <c r="B150" t="s">
        <v>177</v>
      </c>
      <c r="C150">
        <v>2014</v>
      </c>
      <c r="D150" s="10">
        <v>2905850.1570000001</v>
      </c>
      <c r="E150" s="10">
        <v>2504174.915</v>
      </c>
      <c r="F150" s="10">
        <v>401675.24200000003</v>
      </c>
      <c r="G150" s="8">
        <v>439.5</v>
      </c>
      <c r="H150" s="8">
        <v>511.5</v>
      </c>
      <c r="I150" s="8">
        <v>951</v>
      </c>
      <c r="J150" s="9">
        <v>17.55</v>
      </c>
      <c r="K150" s="9">
        <v>127.34</v>
      </c>
      <c r="L150" s="9">
        <v>32.729999999999997</v>
      </c>
      <c r="M150" s="9">
        <v>32.729999999999997</v>
      </c>
      <c r="N150">
        <v>86.18</v>
      </c>
      <c r="O150">
        <v>13.82</v>
      </c>
      <c r="P150">
        <v>31.1</v>
      </c>
      <c r="Q150">
        <v>68.099999999999994</v>
      </c>
    </row>
    <row r="151" spans="1:17" x14ac:dyDescent="0.2">
      <c r="A151" t="s">
        <v>183</v>
      </c>
      <c r="B151" t="s">
        <v>177</v>
      </c>
      <c r="C151">
        <v>2015</v>
      </c>
      <c r="D151" s="10">
        <v>2985454.0729999999</v>
      </c>
      <c r="E151" s="10">
        <v>2564354.807</v>
      </c>
      <c r="F151" s="10">
        <v>421099.266</v>
      </c>
      <c r="G151" s="8">
        <v>432</v>
      </c>
      <c r="H151" s="8">
        <v>569</v>
      </c>
      <c r="I151" s="8">
        <v>1001</v>
      </c>
      <c r="J151" s="9">
        <v>16.850000000000001</v>
      </c>
      <c r="K151" s="9">
        <v>135.12</v>
      </c>
      <c r="L151" s="9">
        <v>33.53</v>
      </c>
      <c r="M151" s="9">
        <v>33.53</v>
      </c>
      <c r="N151">
        <v>85.89</v>
      </c>
      <c r="O151">
        <v>14.11</v>
      </c>
      <c r="P151">
        <v>27.9</v>
      </c>
      <c r="Q151">
        <v>62.4</v>
      </c>
    </row>
    <row r="152" spans="1:17" x14ac:dyDescent="0.2">
      <c r="A152" t="s">
        <v>184</v>
      </c>
      <c r="B152" t="s">
        <v>177</v>
      </c>
      <c r="C152">
        <v>2016</v>
      </c>
      <c r="D152" s="10">
        <v>2921490.6749999998</v>
      </c>
      <c r="E152" s="10">
        <v>2503523.534</v>
      </c>
      <c r="F152" s="10">
        <v>417967.141</v>
      </c>
      <c r="G152" s="8">
        <v>432</v>
      </c>
      <c r="H152" s="8">
        <v>451.5</v>
      </c>
      <c r="I152" s="8">
        <v>883.5</v>
      </c>
      <c r="J152" s="9">
        <v>17.260000000000002</v>
      </c>
      <c r="K152" s="9">
        <v>108.02</v>
      </c>
      <c r="L152" s="9">
        <v>30.24</v>
      </c>
      <c r="M152" s="9">
        <v>30.24</v>
      </c>
      <c r="N152">
        <v>85.69</v>
      </c>
      <c r="O152">
        <v>14.31</v>
      </c>
      <c r="P152">
        <v>29</v>
      </c>
      <c r="Q152">
        <v>57.6</v>
      </c>
    </row>
    <row r="153" spans="1:17" x14ac:dyDescent="0.2">
      <c r="A153" t="s">
        <v>185</v>
      </c>
      <c r="B153" t="s">
        <v>177</v>
      </c>
      <c r="C153">
        <v>2017</v>
      </c>
      <c r="D153" s="10">
        <v>2961871</v>
      </c>
      <c r="E153" s="10">
        <v>2520611</v>
      </c>
      <c r="F153" s="10">
        <v>441260</v>
      </c>
      <c r="G153" s="8">
        <v>432</v>
      </c>
      <c r="H153" s="8">
        <v>476</v>
      </c>
      <c r="I153" s="8">
        <v>908</v>
      </c>
      <c r="J153" s="9">
        <v>17.14</v>
      </c>
      <c r="K153" s="9">
        <v>107.87</v>
      </c>
      <c r="L153" s="9">
        <v>30.66</v>
      </c>
      <c r="M153" s="9">
        <v>30.66</v>
      </c>
      <c r="N153">
        <v>85.1</v>
      </c>
      <c r="O153">
        <v>14.9</v>
      </c>
      <c r="P153">
        <v>23.9</v>
      </c>
    </row>
    <row r="154" spans="1:17" x14ac:dyDescent="0.2">
      <c r="A154" t="s">
        <v>186</v>
      </c>
      <c r="B154" t="s">
        <v>187</v>
      </c>
      <c r="C154">
        <v>2009</v>
      </c>
      <c r="D154" s="10">
        <v>4317864.05</v>
      </c>
      <c r="E154" s="10">
        <v>3758508.7450000001</v>
      </c>
      <c r="F154" s="11">
        <v>559355.304999999</v>
      </c>
      <c r="G154" s="8">
        <v>452.5</v>
      </c>
      <c r="H154" s="8">
        <v>803</v>
      </c>
      <c r="I154" s="8">
        <v>1255.5</v>
      </c>
      <c r="J154" s="9">
        <v>12.04</v>
      </c>
      <c r="K154" s="9">
        <v>143.56</v>
      </c>
      <c r="L154" s="9">
        <v>29.08</v>
      </c>
      <c r="M154" s="9">
        <v>29.08</v>
      </c>
      <c r="N154">
        <v>87.05</v>
      </c>
      <c r="O154">
        <v>12.95</v>
      </c>
      <c r="Q154">
        <v>73.099999999999994</v>
      </c>
    </row>
    <row r="155" spans="1:17" x14ac:dyDescent="0.2">
      <c r="A155" t="s">
        <v>188</v>
      </c>
      <c r="B155" t="s">
        <v>187</v>
      </c>
      <c r="C155">
        <v>2010</v>
      </c>
      <c r="D155" s="10">
        <v>4178472.0070000002</v>
      </c>
      <c r="E155" s="10">
        <v>3630692.1770000001</v>
      </c>
      <c r="F155" s="10">
        <v>547779.82999999996</v>
      </c>
      <c r="G155" s="8">
        <v>438.5</v>
      </c>
      <c r="H155" s="8">
        <v>770</v>
      </c>
      <c r="I155" s="8">
        <v>1208.5</v>
      </c>
      <c r="J155" s="9">
        <v>12.08</v>
      </c>
      <c r="K155" s="9">
        <v>140.57</v>
      </c>
      <c r="L155" s="9">
        <v>28.92</v>
      </c>
      <c r="M155" s="9">
        <v>28.92</v>
      </c>
      <c r="N155">
        <v>86.89</v>
      </c>
      <c r="O155">
        <v>13.11</v>
      </c>
      <c r="P155">
        <v>32.6</v>
      </c>
      <c r="Q155">
        <v>71</v>
      </c>
    </row>
    <row r="156" spans="1:17" x14ac:dyDescent="0.2">
      <c r="A156" t="s">
        <v>189</v>
      </c>
      <c r="B156" t="s">
        <v>187</v>
      </c>
      <c r="C156">
        <v>2011</v>
      </c>
      <c r="D156" s="10">
        <v>4296436.9110000003</v>
      </c>
      <c r="E156" s="10">
        <v>3722742.304</v>
      </c>
      <c r="F156" s="10">
        <v>573694.60699999996</v>
      </c>
      <c r="G156" s="8">
        <v>466.5</v>
      </c>
      <c r="H156" s="8">
        <v>761</v>
      </c>
      <c r="I156" s="8">
        <v>1227.5</v>
      </c>
      <c r="J156" s="9">
        <v>12.53</v>
      </c>
      <c r="K156" s="9">
        <v>132.65</v>
      </c>
      <c r="L156" s="9">
        <v>28.57</v>
      </c>
      <c r="M156" s="9">
        <v>28.57</v>
      </c>
      <c r="N156">
        <v>86.65</v>
      </c>
      <c r="O156">
        <v>13.35</v>
      </c>
      <c r="P156">
        <v>32.299999999999997</v>
      </c>
      <c r="Q156">
        <v>67</v>
      </c>
    </row>
    <row r="157" spans="1:17" x14ac:dyDescent="0.2">
      <c r="A157" t="s">
        <v>190</v>
      </c>
      <c r="B157" t="s">
        <v>187</v>
      </c>
      <c r="C157">
        <v>2012</v>
      </c>
      <c r="D157" s="10">
        <v>4353031.04</v>
      </c>
      <c r="E157" s="10">
        <v>3762930.8050000002</v>
      </c>
      <c r="F157" s="10">
        <v>590100.23499999999</v>
      </c>
      <c r="G157" s="8">
        <v>446</v>
      </c>
      <c r="H157" s="8">
        <v>713.5</v>
      </c>
      <c r="I157" s="8">
        <v>1159.5</v>
      </c>
      <c r="J157" s="9">
        <v>11.85</v>
      </c>
      <c r="K157" s="9">
        <v>120.91</v>
      </c>
      <c r="L157" s="9">
        <v>26.64</v>
      </c>
      <c r="M157" s="9">
        <v>26.64</v>
      </c>
      <c r="N157">
        <v>86.44</v>
      </c>
      <c r="O157">
        <v>13.56</v>
      </c>
      <c r="P157">
        <v>32.1</v>
      </c>
      <c r="Q157">
        <v>71.099999999999994</v>
      </c>
    </row>
    <row r="158" spans="1:17" x14ac:dyDescent="0.2">
      <c r="A158" t="s">
        <v>191</v>
      </c>
      <c r="B158" t="s">
        <v>187</v>
      </c>
      <c r="C158">
        <v>2013</v>
      </c>
      <c r="D158" s="10">
        <v>4385513.1900000004</v>
      </c>
      <c r="E158" s="10">
        <v>3780364.1320000002</v>
      </c>
      <c r="F158" s="10">
        <v>605149.05799999996</v>
      </c>
      <c r="G158" s="8">
        <v>444</v>
      </c>
      <c r="H158" s="8">
        <v>749.5</v>
      </c>
      <c r="I158" s="8">
        <v>1193.5</v>
      </c>
      <c r="J158" s="9">
        <v>11.74</v>
      </c>
      <c r="K158" s="9">
        <v>123.85</v>
      </c>
      <c r="L158" s="9">
        <v>27.21</v>
      </c>
      <c r="M158" s="9">
        <v>27.21</v>
      </c>
      <c r="N158">
        <v>86.2</v>
      </c>
      <c r="O158">
        <v>13.8</v>
      </c>
      <c r="P158">
        <v>28.6</v>
      </c>
      <c r="Q158">
        <v>73.900000000000006</v>
      </c>
    </row>
    <row r="159" spans="1:17" x14ac:dyDescent="0.2">
      <c r="A159" t="s">
        <v>192</v>
      </c>
      <c r="B159" t="s">
        <v>187</v>
      </c>
      <c r="C159">
        <v>2014</v>
      </c>
      <c r="D159" s="10">
        <v>4391564.0120000001</v>
      </c>
      <c r="E159" s="10">
        <v>3770533.67</v>
      </c>
      <c r="F159" s="10">
        <v>621030.34199999995</v>
      </c>
      <c r="G159" s="8">
        <v>484.5</v>
      </c>
      <c r="H159" s="8">
        <v>794</v>
      </c>
      <c r="I159" s="8">
        <v>1278.5</v>
      </c>
      <c r="J159" s="9">
        <v>12.85</v>
      </c>
      <c r="K159" s="9">
        <v>127.85</v>
      </c>
      <c r="L159" s="9">
        <v>29.11</v>
      </c>
      <c r="M159" s="9">
        <v>29.11</v>
      </c>
      <c r="N159">
        <v>85.86</v>
      </c>
      <c r="O159">
        <v>14.14</v>
      </c>
      <c r="P159">
        <v>36.200000000000003</v>
      </c>
      <c r="Q159">
        <v>73.900000000000006</v>
      </c>
    </row>
    <row r="160" spans="1:17" x14ac:dyDescent="0.2">
      <c r="A160" t="s">
        <v>193</v>
      </c>
      <c r="B160" t="s">
        <v>187</v>
      </c>
      <c r="C160">
        <v>2015</v>
      </c>
      <c r="D160" s="10">
        <v>4777319.6270000003</v>
      </c>
      <c r="E160" s="10">
        <v>4076032.6340000001</v>
      </c>
      <c r="F160" s="10">
        <v>701286.99300000002</v>
      </c>
      <c r="G160" s="8">
        <v>465.5</v>
      </c>
      <c r="H160" s="8">
        <v>792.5</v>
      </c>
      <c r="I160" s="8">
        <v>1258</v>
      </c>
      <c r="J160" s="9">
        <v>11.42</v>
      </c>
      <c r="K160" s="9">
        <v>113.01</v>
      </c>
      <c r="L160" s="9">
        <v>26.33</v>
      </c>
      <c r="M160" s="9">
        <v>26.33</v>
      </c>
      <c r="N160">
        <v>85.32</v>
      </c>
      <c r="O160">
        <v>14.68</v>
      </c>
      <c r="P160">
        <v>26.2</v>
      </c>
      <c r="Q160">
        <v>66</v>
      </c>
    </row>
    <row r="161" spans="1:17" x14ac:dyDescent="0.2">
      <c r="A161" t="s">
        <v>194</v>
      </c>
      <c r="B161" t="s">
        <v>187</v>
      </c>
      <c r="C161">
        <v>2016</v>
      </c>
      <c r="D161" s="10">
        <v>4572311.8109999998</v>
      </c>
      <c r="E161" s="10">
        <v>3885056.3259999999</v>
      </c>
      <c r="F161" s="10">
        <v>687255.48499999999</v>
      </c>
      <c r="G161" s="8">
        <v>467</v>
      </c>
      <c r="H161" s="8">
        <v>700</v>
      </c>
      <c r="I161" s="8">
        <v>1167</v>
      </c>
      <c r="J161" s="9">
        <v>12.02</v>
      </c>
      <c r="K161" s="9">
        <v>101.85</v>
      </c>
      <c r="L161" s="9">
        <v>25.52</v>
      </c>
      <c r="M161" s="9">
        <v>25.52</v>
      </c>
      <c r="N161">
        <v>84.97</v>
      </c>
      <c r="O161">
        <v>15.03</v>
      </c>
      <c r="P161">
        <v>28.5</v>
      </c>
      <c r="Q161">
        <v>64.3</v>
      </c>
    </row>
    <row r="162" spans="1:17" x14ac:dyDescent="0.2">
      <c r="A162" t="s">
        <v>195</v>
      </c>
      <c r="B162" t="s">
        <v>187</v>
      </c>
      <c r="C162">
        <v>2017</v>
      </c>
      <c r="D162" s="10">
        <v>4501623</v>
      </c>
      <c r="E162" s="10">
        <v>3807086</v>
      </c>
      <c r="F162" s="10">
        <v>694537</v>
      </c>
      <c r="G162" s="8">
        <v>457.5</v>
      </c>
      <c r="H162" s="8">
        <v>742</v>
      </c>
      <c r="I162" s="8">
        <v>1199.5</v>
      </c>
      <c r="J162" s="9">
        <v>12.02</v>
      </c>
      <c r="K162" s="9">
        <v>106.83</v>
      </c>
      <c r="L162" s="9">
        <v>26.65</v>
      </c>
      <c r="M162" s="9">
        <v>26.65</v>
      </c>
      <c r="N162">
        <v>84.57</v>
      </c>
      <c r="O162">
        <v>15.43</v>
      </c>
      <c r="P162">
        <v>25.6</v>
      </c>
    </row>
    <row r="163" spans="1:17" x14ac:dyDescent="0.2">
      <c r="A163" t="s">
        <v>196</v>
      </c>
      <c r="B163" t="s">
        <v>197</v>
      </c>
      <c r="C163">
        <v>2009</v>
      </c>
      <c r="D163" s="10">
        <v>4438179.8880000003</v>
      </c>
      <c r="E163" s="10">
        <v>3899813.9619999998</v>
      </c>
      <c r="F163" s="10">
        <v>538365.92599999998</v>
      </c>
      <c r="G163" s="8">
        <v>432</v>
      </c>
      <c r="H163" s="8">
        <v>688</v>
      </c>
      <c r="I163" s="8">
        <v>1120</v>
      </c>
      <c r="J163" s="9">
        <v>11.08</v>
      </c>
      <c r="K163" s="9">
        <v>127.79</v>
      </c>
      <c r="L163" s="9">
        <v>25.24</v>
      </c>
      <c r="M163" s="9">
        <v>25.24</v>
      </c>
      <c r="N163">
        <v>87.87</v>
      </c>
      <c r="O163">
        <v>12.13</v>
      </c>
      <c r="Q163">
        <v>72</v>
      </c>
    </row>
    <row r="164" spans="1:17" x14ac:dyDescent="0.2">
      <c r="A164" t="s">
        <v>198</v>
      </c>
      <c r="B164" t="s">
        <v>197</v>
      </c>
      <c r="C164">
        <v>2010</v>
      </c>
      <c r="D164" s="10">
        <v>4491594.2719999999</v>
      </c>
      <c r="E164" s="10">
        <v>3944107.9440000001</v>
      </c>
      <c r="F164" s="10">
        <v>547486.32799999998</v>
      </c>
      <c r="G164" s="8">
        <v>438.5</v>
      </c>
      <c r="H164" s="8">
        <v>720.5</v>
      </c>
      <c r="I164" s="8">
        <v>1159</v>
      </c>
      <c r="J164" s="9">
        <v>11.12</v>
      </c>
      <c r="K164" s="9">
        <v>131.6</v>
      </c>
      <c r="L164" s="9">
        <v>25.8</v>
      </c>
      <c r="M164" s="9">
        <v>25.8</v>
      </c>
      <c r="N164">
        <v>87.81</v>
      </c>
      <c r="O164">
        <v>12.19</v>
      </c>
      <c r="P164">
        <v>35.700000000000003</v>
      </c>
      <c r="Q164">
        <v>73.8</v>
      </c>
    </row>
    <row r="165" spans="1:17" x14ac:dyDescent="0.2">
      <c r="A165" t="s">
        <v>199</v>
      </c>
      <c r="B165" t="s">
        <v>197</v>
      </c>
      <c r="C165">
        <v>2011</v>
      </c>
      <c r="D165" s="10">
        <v>4539858.9809999997</v>
      </c>
      <c r="E165" s="10">
        <v>3980981.76</v>
      </c>
      <c r="F165" s="10">
        <v>558877.22100000002</v>
      </c>
      <c r="G165" s="8">
        <v>456.5</v>
      </c>
      <c r="H165" s="8">
        <v>658.5</v>
      </c>
      <c r="I165" s="8">
        <v>1115</v>
      </c>
      <c r="J165" s="9">
        <v>11.47</v>
      </c>
      <c r="K165" s="9">
        <v>117.83</v>
      </c>
      <c r="L165" s="9">
        <v>24.56</v>
      </c>
      <c r="M165" s="9">
        <v>24.56</v>
      </c>
      <c r="N165">
        <v>87.69</v>
      </c>
      <c r="O165">
        <v>12.31</v>
      </c>
      <c r="P165">
        <v>30.1</v>
      </c>
      <c r="Q165">
        <v>72.3</v>
      </c>
    </row>
    <row r="166" spans="1:17" x14ac:dyDescent="0.2">
      <c r="A166" t="s">
        <v>200</v>
      </c>
      <c r="B166" t="s">
        <v>197</v>
      </c>
      <c r="C166">
        <v>2012</v>
      </c>
      <c r="D166" s="10">
        <v>4722436.193</v>
      </c>
      <c r="E166" s="10">
        <v>4132586.8560000001</v>
      </c>
      <c r="F166" s="11">
        <v>589849.33699999901</v>
      </c>
      <c r="G166" s="8">
        <v>439.5</v>
      </c>
      <c r="H166" s="8">
        <v>631.5</v>
      </c>
      <c r="I166" s="8">
        <v>1071</v>
      </c>
      <c r="J166" s="9">
        <v>10.63</v>
      </c>
      <c r="K166" s="9">
        <v>107.06</v>
      </c>
      <c r="L166" s="9">
        <v>22.68</v>
      </c>
      <c r="M166" s="9">
        <v>22.68</v>
      </c>
      <c r="N166">
        <v>87.51</v>
      </c>
      <c r="O166">
        <v>12.49</v>
      </c>
      <c r="P166">
        <v>31.4</v>
      </c>
      <c r="Q166">
        <v>69</v>
      </c>
    </row>
    <row r="167" spans="1:17" x14ac:dyDescent="0.2">
      <c r="A167" t="s">
        <v>201</v>
      </c>
      <c r="B167" t="s">
        <v>197</v>
      </c>
      <c r="C167">
        <v>2013</v>
      </c>
      <c r="D167" s="10">
        <v>4473180.4960000003</v>
      </c>
      <c r="E167" s="10">
        <v>3903951.452</v>
      </c>
      <c r="F167" s="10">
        <v>569229.04399999999</v>
      </c>
      <c r="G167" s="8">
        <v>494.5</v>
      </c>
      <c r="H167" s="8">
        <v>658.5</v>
      </c>
      <c r="I167" s="8">
        <v>1153</v>
      </c>
      <c r="J167" s="9">
        <v>12.67</v>
      </c>
      <c r="K167" s="9">
        <v>115.68</v>
      </c>
      <c r="L167" s="9">
        <v>25.78</v>
      </c>
      <c r="M167" s="9">
        <v>25.78</v>
      </c>
      <c r="N167">
        <v>87.27</v>
      </c>
      <c r="O167">
        <v>12.73</v>
      </c>
      <c r="P167">
        <v>26</v>
      </c>
      <c r="Q167">
        <v>68.099999999999994</v>
      </c>
    </row>
    <row r="168" spans="1:17" x14ac:dyDescent="0.2">
      <c r="A168" t="s">
        <v>202</v>
      </c>
      <c r="B168" t="s">
        <v>197</v>
      </c>
      <c r="C168">
        <v>2014</v>
      </c>
      <c r="D168" s="10">
        <v>4715234.3059999999</v>
      </c>
      <c r="E168" s="10">
        <v>4091025.6549999998</v>
      </c>
      <c r="F168" s="11">
        <v>624208.65099999995</v>
      </c>
      <c r="G168" s="8">
        <v>511</v>
      </c>
      <c r="H168" s="8">
        <v>599.5</v>
      </c>
      <c r="I168" s="8">
        <v>1110.5</v>
      </c>
      <c r="J168" s="9">
        <v>12.49</v>
      </c>
      <c r="K168" s="9">
        <v>96.04</v>
      </c>
      <c r="L168" s="9">
        <v>23.55</v>
      </c>
      <c r="M168" s="9">
        <v>23.55</v>
      </c>
      <c r="N168">
        <v>86.76</v>
      </c>
      <c r="O168">
        <v>13.24</v>
      </c>
      <c r="P168">
        <v>29.8</v>
      </c>
      <c r="Q168">
        <v>59.6</v>
      </c>
    </row>
    <row r="169" spans="1:17" x14ac:dyDescent="0.2">
      <c r="A169" t="s">
        <v>203</v>
      </c>
      <c r="B169" t="s">
        <v>197</v>
      </c>
      <c r="C169">
        <v>2015</v>
      </c>
      <c r="D169" s="10">
        <v>4570463.074</v>
      </c>
      <c r="E169" s="10">
        <v>3956806.8730000001</v>
      </c>
      <c r="F169" s="10">
        <v>613656.201</v>
      </c>
      <c r="G169" s="8">
        <v>449</v>
      </c>
      <c r="H169" s="8">
        <v>583.5</v>
      </c>
      <c r="I169" s="8">
        <v>1032.5</v>
      </c>
      <c r="J169" s="9">
        <v>11.35</v>
      </c>
      <c r="K169" s="9">
        <v>95.09</v>
      </c>
      <c r="L169" s="9">
        <v>22.59</v>
      </c>
      <c r="M169" s="9">
        <v>22.59</v>
      </c>
      <c r="N169">
        <v>86.57</v>
      </c>
      <c r="O169">
        <v>13.43</v>
      </c>
      <c r="P169">
        <v>27.2</v>
      </c>
      <c r="Q169">
        <v>58.4</v>
      </c>
    </row>
    <row r="170" spans="1:17" x14ac:dyDescent="0.2">
      <c r="A170" t="s">
        <v>204</v>
      </c>
      <c r="B170" t="s">
        <v>197</v>
      </c>
      <c r="C170">
        <v>2016</v>
      </c>
      <c r="D170" s="10">
        <v>4954862.2889999999</v>
      </c>
      <c r="E170" s="10">
        <v>4236746.6459999997</v>
      </c>
      <c r="F170" s="10">
        <v>718115.64300000004</v>
      </c>
      <c r="G170" s="8">
        <v>449.5</v>
      </c>
      <c r="H170" s="8">
        <v>536</v>
      </c>
      <c r="I170" s="8">
        <v>985.5</v>
      </c>
      <c r="J170" s="9">
        <v>10.61</v>
      </c>
      <c r="K170" s="9">
        <v>74.64</v>
      </c>
      <c r="L170" s="9">
        <v>19.89</v>
      </c>
      <c r="M170" s="9">
        <v>19.89</v>
      </c>
      <c r="N170">
        <v>85.51</v>
      </c>
      <c r="O170">
        <v>14.49</v>
      </c>
      <c r="P170">
        <v>23.7</v>
      </c>
      <c r="Q170">
        <v>57.9</v>
      </c>
    </row>
    <row r="171" spans="1:17" x14ac:dyDescent="0.2">
      <c r="A171" t="s">
        <v>205</v>
      </c>
      <c r="B171" t="s">
        <v>197</v>
      </c>
      <c r="C171">
        <v>2017</v>
      </c>
      <c r="D171" s="10">
        <v>4444334</v>
      </c>
      <c r="E171" s="10">
        <v>3819202</v>
      </c>
      <c r="F171" s="10">
        <v>625132</v>
      </c>
      <c r="G171" s="8">
        <v>467.5</v>
      </c>
      <c r="H171" s="8">
        <v>597</v>
      </c>
      <c r="I171" s="8">
        <v>1064.5</v>
      </c>
      <c r="J171" s="9">
        <v>12.24</v>
      </c>
      <c r="K171" s="9">
        <v>95.5</v>
      </c>
      <c r="L171" s="9">
        <v>23.95</v>
      </c>
      <c r="M171" s="9">
        <v>23.95</v>
      </c>
      <c r="N171">
        <v>85.93</v>
      </c>
      <c r="O171">
        <v>14.07</v>
      </c>
      <c r="P171">
        <v>19.8</v>
      </c>
    </row>
    <row r="172" spans="1:17" x14ac:dyDescent="0.2">
      <c r="A172" t="s">
        <v>206</v>
      </c>
      <c r="B172" t="s">
        <v>207</v>
      </c>
      <c r="C172">
        <v>2009</v>
      </c>
      <c r="D172" s="10">
        <v>1317115.4950000001</v>
      </c>
      <c r="E172" s="10">
        <v>1119330.628</v>
      </c>
      <c r="F172" s="10">
        <v>197784.867</v>
      </c>
      <c r="G172" s="8">
        <v>432</v>
      </c>
      <c r="H172" s="8">
        <v>216</v>
      </c>
      <c r="I172" s="8">
        <v>648</v>
      </c>
      <c r="J172" s="9">
        <v>38.590000000000003</v>
      </c>
      <c r="K172" s="9">
        <v>109.21</v>
      </c>
      <c r="L172" s="9">
        <v>49.2</v>
      </c>
      <c r="M172" s="9">
        <v>49.2</v>
      </c>
      <c r="N172">
        <v>84.98</v>
      </c>
      <c r="O172">
        <v>15.02</v>
      </c>
      <c r="Q172">
        <v>77</v>
      </c>
    </row>
    <row r="173" spans="1:17" x14ac:dyDescent="0.2">
      <c r="A173" t="s">
        <v>208</v>
      </c>
      <c r="B173" t="s">
        <v>207</v>
      </c>
      <c r="C173">
        <v>2010</v>
      </c>
      <c r="D173" s="10">
        <v>1328035.2</v>
      </c>
      <c r="E173" s="11">
        <v>1124619.4279999901</v>
      </c>
      <c r="F173" s="10">
        <v>203415.772</v>
      </c>
      <c r="G173" s="8">
        <v>432</v>
      </c>
      <c r="H173" s="8">
        <v>230.5</v>
      </c>
      <c r="I173" s="8">
        <v>662.5</v>
      </c>
      <c r="J173" s="9">
        <v>38.409999999999997</v>
      </c>
      <c r="K173" s="9">
        <v>113.31</v>
      </c>
      <c r="L173" s="9">
        <v>49.89</v>
      </c>
      <c r="M173" s="9">
        <v>49.89</v>
      </c>
      <c r="N173">
        <v>84.68</v>
      </c>
      <c r="O173">
        <v>15.32</v>
      </c>
      <c r="P173">
        <v>33.299999999999997</v>
      </c>
      <c r="Q173">
        <v>66</v>
      </c>
    </row>
    <row r="174" spans="1:17" x14ac:dyDescent="0.2">
      <c r="A174" t="s">
        <v>209</v>
      </c>
      <c r="B174" t="s">
        <v>207</v>
      </c>
      <c r="C174">
        <v>2011</v>
      </c>
      <c r="D174" s="10">
        <v>1418245.9990000001</v>
      </c>
      <c r="E174" s="10">
        <v>1198426.9140000001</v>
      </c>
      <c r="F174" s="10">
        <v>219819.08499999999</v>
      </c>
      <c r="G174" s="8">
        <v>432</v>
      </c>
      <c r="H174" s="8">
        <v>265</v>
      </c>
      <c r="I174" s="8">
        <v>697</v>
      </c>
      <c r="J174" s="9">
        <v>36.049999999999997</v>
      </c>
      <c r="K174" s="9">
        <v>120.55</v>
      </c>
      <c r="L174" s="9">
        <v>49.15</v>
      </c>
      <c r="M174" s="9">
        <v>49.15</v>
      </c>
      <c r="N174">
        <v>84.5</v>
      </c>
      <c r="O174">
        <v>15.5</v>
      </c>
      <c r="P174">
        <v>33.700000000000003</v>
      </c>
      <c r="Q174">
        <v>66.8</v>
      </c>
    </row>
    <row r="175" spans="1:17" x14ac:dyDescent="0.2">
      <c r="A175" t="s">
        <v>210</v>
      </c>
      <c r="B175" t="s">
        <v>207</v>
      </c>
      <c r="C175">
        <v>2012</v>
      </c>
      <c r="D175" s="10">
        <v>1312107.52</v>
      </c>
      <c r="E175" s="10">
        <v>1102380.656</v>
      </c>
      <c r="F175" s="10">
        <v>209726.864</v>
      </c>
      <c r="G175" s="8">
        <v>432</v>
      </c>
      <c r="H175" s="8">
        <v>195</v>
      </c>
      <c r="I175" s="8">
        <v>627</v>
      </c>
      <c r="J175" s="9">
        <v>39.19</v>
      </c>
      <c r="K175" s="9">
        <v>92.98</v>
      </c>
      <c r="L175" s="9">
        <v>47.79</v>
      </c>
      <c r="M175" s="9">
        <v>47.79</v>
      </c>
      <c r="N175">
        <v>84.02</v>
      </c>
      <c r="O175">
        <v>15.98</v>
      </c>
      <c r="P175">
        <v>33.799999999999997</v>
      </c>
      <c r="Q175">
        <v>68.400000000000006</v>
      </c>
    </row>
    <row r="176" spans="1:17" x14ac:dyDescent="0.2">
      <c r="A176" t="s">
        <v>211</v>
      </c>
      <c r="B176" t="s">
        <v>207</v>
      </c>
      <c r="C176">
        <v>2013</v>
      </c>
      <c r="D176" s="11">
        <v>1329560.8049999999</v>
      </c>
      <c r="E176" s="10">
        <v>1109160.132</v>
      </c>
      <c r="F176" s="10">
        <v>220400.67300000001</v>
      </c>
      <c r="G176" s="8">
        <v>432</v>
      </c>
      <c r="H176" s="8">
        <v>244.5</v>
      </c>
      <c r="I176" s="8">
        <v>676.5</v>
      </c>
      <c r="J176" s="9">
        <v>38.950000000000003</v>
      </c>
      <c r="K176" s="9">
        <v>110.93</v>
      </c>
      <c r="L176" s="9">
        <v>50.88</v>
      </c>
      <c r="M176" s="9">
        <v>50.88</v>
      </c>
      <c r="N176">
        <v>83.42</v>
      </c>
      <c r="O176">
        <v>16.579999999999998</v>
      </c>
      <c r="P176">
        <v>29.9</v>
      </c>
      <c r="Q176">
        <v>66.5</v>
      </c>
    </row>
    <row r="177" spans="1:17" x14ac:dyDescent="0.2">
      <c r="A177" t="s">
        <v>212</v>
      </c>
      <c r="B177" t="s">
        <v>207</v>
      </c>
      <c r="C177">
        <v>2014</v>
      </c>
      <c r="D177" s="10">
        <v>1346314.3589999999</v>
      </c>
      <c r="E177" s="10">
        <v>1115751.1370000001</v>
      </c>
      <c r="F177" s="10">
        <v>230563.22200000001</v>
      </c>
      <c r="G177" s="8">
        <v>432</v>
      </c>
      <c r="H177" s="8">
        <v>200.5</v>
      </c>
      <c r="I177" s="8">
        <v>632.5</v>
      </c>
      <c r="J177" s="9">
        <v>38.72</v>
      </c>
      <c r="K177" s="9">
        <v>86.96</v>
      </c>
      <c r="L177" s="9">
        <v>46.98</v>
      </c>
      <c r="M177" s="9">
        <v>46.98</v>
      </c>
      <c r="N177">
        <v>82.87</v>
      </c>
      <c r="O177">
        <v>17.13</v>
      </c>
      <c r="P177">
        <v>32.299999999999997</v>
      </c>
      <c r="Q177">
        <v>69.3</v>
      </c>
    </row>
    <row r="178" spans="1:17" x14ac:dyDescent="0.2">
      <c r="A178" t="s">
        <v>213</v>
      </c>
      <c r="B178" t="s">
        <v>207</v>
      </c>
      <c r="C178">
        <v>2015</v>
      </c>
      <c r="D178" s="10">
        <v>1333867.608</v>
      </c>
      <c r="E178" s="10">
        <v>1099003.331</v>
      </c>
      <c r="F178" s="10">
        <v>234864.277</v>
      </c>
      <c r="G178" s="8">
        <v>432</v>
      </c>
      <c r="H178" s="8">
        <v>296</v>
      </c>
      <c r="I178" s="8">
        <v>728</v>
      </c>
      <c r="J178" s="9">
        <v>39.31</v>
      </c>
      <c r="K178" s="9">
        <v>126.03</v>
      </c>
      <c r="L178" s="9">
        <v>54.58</v>
      </c>
      <c r="M178" s="9">
        <v>54.58</v>
      </c>
      <c r="N178">
        <v>82.39</v>
      </c>
      <c r="O178">
        <v>17.61</v>
      </c>
      <c r="P178">
        <v>32.799999999999997</v>
      </c>
      <c r="Q178">
        <v>67.2</v>
      </c>
    </row>
    <row r="179" spans="1:17" x14ac:dyDescent="0.2">
      <c r="A179" t="s">
        <v>214</v>
      </c>
      <c r="B179" t="s">
        <v>207</v>
      </c>
      <c r="C179">
        <v>2016</v>
      </c>
      <c r="D179" s="10">
        <v>1358709.419</v>
      </c>
      <c r="E179" s="10">
        <v>1114804.8470000001</v>
      </c>
      <c r="F179" s="10">
        <v>243904.57199999999</v>
      </c>
      <c r="G179" s="8">
        <v>432</v>
      </c>
      <c r="H179" s="8">
        <v>215</v>
      </c>
      <c r="I179" s="8">
        <v>647</v>
      </c>
      <c r="J179" s="9">
        <v>38.75</v>
      </c>
      <c r="K179" s="9">
        <v>88.15</v>
      </c>
      <c r="L179" s="9">
        <v>47.62</v>
      </c>
      <c r="M179" s="9">
        <v>47.62</v>
      </c>
      <c r="N179">
        <v>82.05</v>
      </c>
      <c r="O179">
        <v>17.95</v>
      </c>
      <c r="P179">
        <v>31.4</v>
      </c>
      <c r="Q179">
        <v>68.7</v>
      </c>
    </row>
    <row r="180" spans="1:17" x14ac:dyDescent="0.2">
      <c r="A180" t="s">
        <v>215</v>
      </c>
      <c r="B180" t="s">
        <v>207</v>
      </c>
      <c r="C180">
        <v>2017</v>
      </c>
      <c r="D180" s="10">
        <v>1365894</v>
      </c>
      <c r="E180" s="10">
        <v>1110716</v>
      </c>
      <c r="F180" s="10">
        <v>255178</v>
      </c>
      <c r="G180" s="8">
        <v>432</v>
      </c>
      <c r="H180" s="8">
        <v>256</v>
      </c>
      <c r="I180" s="8">
        <v>688</v>
      </c>
      <c r="J180" s="9">
        <v>38.89</v>
      </c>
      <c r="K180" s="9">
        <v>100.32</v>
      </c>
      <c r="L180" s="9">
        <v>50.37</v>
      </c>
      <c r="M180" s="9">
        <v>50.37</v>
      </c>
      <c r="N180">
        <v>81.319999999999993</v>
      </c>
      <c r="O180">
        <v>18.68</v>
      </c>
      <c r="P180">
        <v>23.9</v>
      </c>
    </row>
    <row r="181" spans="1:17" x14ac:dyDescent="0.2">
      <c r="A181" t="s">
        <v>216</v>
      </c>
      <c r="B181" t="s">
        <v>217</v>
      </c>
      <c r="C181">
        <v>2009</v>
      </c>
      <c r="D181" s="10">
        <v>5636543.6789999995</v>
      </c>
      <c r="E181" s="10">
        <v>4973429.1560000004</v>
      </c>
      <c r="F181" s="10">
        <v>663114.52300000004</v>
      </c>
      <c r="G181" s="8">
        <v>450.5</v>
      </c>
      <c r="H181" s="8">
        <v>741.5</v>
      </c>
      <c r="I181" s="8">
        <v>1192</v>
      </c>
      <c r="J181" s="9">
        <v>9.06</v>
      </c>
      <c r="K181" s="9">
        <v>111.82</v>
      </c>
      <c r="L181" s="9">
        <v>21.15</v>
      </c>
      <c r="M181" s="9">
        <v>21.15</v>
      </c>
      <c r="N181">
        <v>88.24</v>
      </c>
      <c r="O181">
        <v>11.76</v>
      </c>
      <c r="Q181">
        <v>72.900000000000006</v>
      </c>
    </row>
    <row r="182" spans="1:17" x14ac:dyDescent="0.2">
      <c r="A182" t="s">
        <v>218</v>
      </c>
      <c r="B182" t="s">
        <v>217</v>
      </c>
      <c r="C182">
        <v>2010</v>
      </c>
      <c r="D182" s="10">
        <v>5729004.9189999998</v>
      </c>
      <c r="E182" s="10">
        <v>5048292.6109999996</v>
      </c>
      <c r="F182" s="10">
        <v>680712.30799999996</v>
      </c>
      <c r="G182" s="8">
        <v>440.5</v>
      </c>
      <c r="H182" s="8">
        <v>762</v>
      </c>
      <c r="I182" s="8">
        <v>1202.5</v>
      </c>
      <c r="J182" s="9">
        <v>8.73</v>
      </c>
      <c r="K182" s="9">
        <v>111.94</v>
      </c>
      <c r="L182" s="9">
        <v>20.99</v>
      </c>
      <c r="M182" s="9">
        <v>20.99</v>
      </c>
      <c r="N182">
        <v>88.12</v>
      </c>
      <c r="O182">
        <v>11.88</v>
      </c>
      <c r="P182">
        <v>34.1</v>
      </c>
      <c r="Q182">
        <v>69.7</v>
      </c>
    </row>
    <row r="183" spans="1:17" x14ac:dyDescent="0.2">
      <c r="A183" t="s">
        <v>219</v>
      </c>
      <c r="B183" t="s">
        <v>217</v>
      </c>
      <c r="C183">
        <v>2011</v>
      </c>
      <c r="D183" s="10">
        <v>5750190.4079999998</v>
      </c>
      <c r="E183" s="10">
        <v>5052052.97</v>
      </c>
      <c r="F183" s="10">
        <v>698137.43799999997</v>
      </c>
      <c r="G183" s="8">
        <v>448.5</v>
      </c>
      <c r="H183" s="8">
        <v>865</v>
      </c>
      <c r="I183" s="8">
        <v>1313.5</v>
      </c>
      <c r="J183" s="9">
        <v>8.8800000000000008</v>
      </c>
      <c r="K183" s="9">
        <v>123.9</v>
      </c>
      <c r="L183" s="9">
        <v>22.84</v>
      </c>
      <c r="M183" s="9">
        <v>22.84</v>
      </c>
      <c r="N183">
        <v>87.86</v>
      </c>
      <c r="O183">
        <v>12.14</v>
      </c>
      <c r="P183">
        <v>33.9</v>
      </c>
      <c r="Q183">
        <v>69.400000000000006</v>
      </c>
    </row>
    <row r="184" spans="1:17" x14ac:dyDescent="0.2">
      <c r="A184" t="s">
        <v>220</v>
      </c>
      <c r="B184" t="s">
        <v>217</v>
      </c>
      <c r="C184">
        <v>2012</v>
      </c>
      <c r="D184" s="10">
        <v>5783376.4100000001</v>
      </c>
      <c r="E184" s="10">
        <v>5067083.7609999999</v>
      </c>
      <c r="F184" s="10">
        <v>716292.64899999998</v>
      </c>
      <c r="G184" s="8">
        <v>438.5</v>
      </c>
      <c r="H184" s="8">
        <v>788</v>
      </c>
      <c r="I184" s="8">
        <v>1226.5</v>
      </c>
      <c r="J184" s="9">
        <v>8.65</v>
      </c>
      <c r="K184" s="9">
        <v>110.01</v>
      </c>
      <c r="L184" s="9">
        <v>21.21</v>
      </c>
      <c r="M184" s="9">
        <v>21.21</v>
      </c>
      <c r="N184">
        <v>87.61</v>
      </c>
      <c r="O184">
        <v>12.39</v>
      </c>
      <c r="P184">
        <v>34</v>
      </c>
      <c r="Q184">
        <v>71.900000000000006</v>
      </c>
    </row>
    <row r="185" spans="1:17" x14ac:dyDescent="0.2">
      <c r="A185" t="s">
        <v>221</v>
      </c>
      <c r="B185" t="s">
        <v>217</v>
      </c>
      <c r="C185">
        <v>2013</v>
      </c>
      <c r="D185" s="11">
        <v>5804647.2189999996</v>
      </c>
      <c r="E185" s="11">
        <v>5070569.9689999996</v>
      </c>
      <c r="F185" s="10">
        <v>734077.25</v>
      </c>
      <c r="G185" s="8">
        <v>457</v>
      </c>
      <c r="H185" s="8">
        <v>918</v>
      </c>
      <c r="I185" s="8">
        <v>1375</v>
      </c>
      <c r="J185" s="9">
        <v>9.01</v>
      </c>
      <c r="K185" s="9">
        <v>125.05</v>
      </c>
      <c r="L185" s="9">
        <v>23.69</v>
      </c>
      <c r="M185" s="9">
        <v>23.69</v>
      </c>
      <c r="N185">
        <v>87.35</v>
      </c>
      <c r="O185">
        <v>12.65</v>
      </c>
      <c r="P185">
        <v>34.1</v>
      </c>
      <c r="Q185">
        <v>67.900000000000006</v>
      </c>
    </row>
    <row r="186" spans="1:17" x14ac:dyDescent="0.2">
      <c r="A186" t="s">
        <v>222</v>
      </c>
      <c r="B186" t="s">
        <v>217</v>
      </c>
      <c r="C186">
        <v>2014</v>
      </c>
      <c r="D186" s="10">
        <v>5920451.2029999997</v>
      </c>
      <c r="E186" s="10">
        <v>5151313.7989999996</v>
      </c>
      <c r="F186" s="10">
        <v>769137.40399999998</v>
      </c>
      <c r="G186" s="8">
        <v>467.5</v>
      </c>
      <c r="H186" s="8">
        <v>810.5</v>
      </c>
      <c r="I186" s="8">
        <v>1278</v>
      </c>
      <c r="J186" s="9">
        <v>9.08</v>
      </c>
      <c r="K186" s="9">
        <v>105.38</v>
      </c>
      <c r="L186" s="9">
        <v>21.59</v>
      </c>
      <c r="M186" s="9">
        <v>21.59</v>
      </c>
      <c r="N186">
        <v>87.01</v>
      </c>
      <c r="O186">
        <v>12.99</v>
      </c>
      <c r="P186">
        <v>32.6</v>
      </c>
      <c r="Q186">
        <v>66.599999999999994</v>
      </c>
    </row>
    <row r="187" spans="1:17" x14ac:dyDescent="0.2">
      <c r="A187" t="s">
        <v>223</v>
      </c>
      <c r="B187" t="s">
        <v>217</v>
      </c>
      <c r="C187">
        <v>2015</v>
      </c>
      <c r="D187" s="10">
        <v>5953416.2419999996</v>
      </c>
      <c r="E187" s="10">
        <v>5162483.6950000003</v>
      </c>
      <c r="F187" s="11">
        <v>790932.54699999897</v>
      </c>
      <c r="G187" s="8">
        <v>448</v>
      </c>
      <c r="H187" s="8">
        <v>997.5</v>
      </c>
      <c r="I187" s="8">
        <v>1445.5</v>
      </c>
      <c r="J187" s="9">
        <v>8.68</v>
      </c>
      <c r="K187" s="9">
        <v>126.12</v>
      </c>
      <c r="L187" s="9">
        <v>24.28</v>
      </c>
      <c r="M187" s="9">
        <v>24.28</v>
      </c>
      <c r="N187">
        <v>86.71</v>
      </c>
      <c r="O187">
        <v>13.29</v>
      </c>
      <c r="P187">
        <v>31.8</v>
      </c>
      <c r="Q187">
        <v>64.3</v>
      </c>
    </row>
    <row r="188" spans="1:17" x14ac:dyDescent="0.2">
      <c r="A188" t="s">
        <v>224</v>
      </c>
      <c r="B188" t="s">
        <v>217</v>
      </c>
      <c r="C188">
        <v>2016</v>
      </c>
      <c r="D188" s="10">
        <v>5905723.5539999995</v>
      </c>
      <c r="E188" s="10">
        <v>5096912.6059999997</v>
      </c>
      <c r="F188" s="10">
        <v>808810.94799999997</v>
      </c>
      <c r="G188" s="8">
        <v>456.5</v>
      </c>
      <c r="H188" s="8">
        <v>846.5</v>
      </c>
      <c r="I188" s="8">
        <v>1303</v>
      </c>
      <c r="J188" s="9">
        <v>8.9600000000000009</v>
      </c>
      <c r="K188" s="9">
        <v>104.66</v>
      </c>
      <c r="L188" s="9">
        <v>22.06</v>
      </c>
      <c r="M188" s="9">
        <v>22.06</v>
      </c>
      <c r="N188">
        <v>86.3</v>
      </c>
      <c r="O188">
        <v>13.7</v>
      </c>
      <c r="P188">
        <v>33.200000000000003</v>
      </c>
      <c r="Q188">
        <v>71.8</v>
      </c>
    </row>
    <row r="189" spans="1:17" x14ac:dyDescent="0.2">
      <c r="A189" t="s">
        <v>225</v>
      </c>
      <c r="B189" t="s">
        <v>217</v>
      </c>
      <c r="C189">
        <v>2017</v>
      </c>
      <c r="D189" s="10">
        <v>5921207</v>
      </c>
      <c r="E189" s="10">
        <v>5084733</v>
      </c>
      <c r="F189" s="10">
        <v>836474</v>
      </c>
      <c r="G189" s="8">
        <v>442.5</v>
      </c>
      <c r="H189" s="8">
        <v>835.5</v>
      </c>
      <c r="I189" s="8">
        <v>1278</v>
      </c>
      <c r="J189" s="9">
        <v>8.6999999999999993</v>
      </c>
      <c r="K189" s="9">
        <v>99.88</v>
      </c>
      <c r="L189" s="9">
        <v>21.58</v>
      </c>
      <c r="M189" s="9">
        <v>21.58</v>
      </c>
      <c r="N189">
        <v>85.87</v>
      </c>
      <c r="O189">
        <v>14.13</v>
      </c>
      <c r="P189">
        <v>29.1</v>
      </c>
    </row>
    <row r="190" spans="1:17" x14ac:dyDescent="0.2">
      <c r="A190" t="s">
        <v>226</v>
      </c>
      <c r="B190" t="s">
        <v>227</v>
      </c>
      <c r="C190">
        <v>2009</v>
      </c>
      <c r="D190" s="10">
        <v>6509484.7860000003</v>
      </c>
      <c r="E190" s="10">
        <v>5640486.4029999999</v>
      </c>
      <c r="F190" s="11">
        <v>868998.38300000003</v>
      </c>
      <c r="G190" s="8">
        <v>440.5</v>
      </c>
      <c r="H190" s="8">
        <v>1178</v>
      </c>
      <c r="I190" s="8">
        <v>1618.5</v>
      </c>
      <c r="J190" s="9">
        <v>7.81</v>
      </c>
      <c r="K190" s="9">
        <v>135.56</v>
      </c>
      <c r="L190" s="9">
        <v>24.86</v>
      </c>
      <c r="M190" s="9">
        <v>24.86</v>
      </c>
      <c r="N190">
        <v>86.65</v>
      </c>
      <c r="O190">
        <v>13.35</v>
      </c>
      <c r="Q190">
        <v>78.3</v>
      </c>
    </row>
    <row r="191" spans="1:17" x14ac:dyDescent="0.2">
      <c r="A191" t="s">
        <v>228</v>
      </c>
      <c r="B191" t="s">
        <v>227</v>
      </c>
      <c r="C191">
        <v>2010</v>
      </c>
      <c r="D191" s="10">
        <v>6487686.7130000005</v>
      </c>
      <c r="E191" s="10">
        <v>5610565.9620000003</v>
      </c>
      <c r="F191" s="10">
        <v>877120.75100000005</v>
      </c>
      <c r="G191" s="8">
        <v>439.5</v>
      </c>
      <c r="H191" s="8">
        <v>1148</v>
      </c>
      <c r="I191" s="8">
        <v>1587.5</v>
      </c>
      <c r="J191" s="9">
        <v>7.83</v>
      </c>
      <c r="K191" s="9">
        <v>130.88</v>
      </c>
      <c r="L191" s="9">
        <v>24.47</v>
      </c>
      <c r="M191" s="9">
        <v>24.47</v>
      </c>
      <c r="N191">
        <v>86.48</v>
      </c>
      <c r="O191">
        <v>13.52</v>
      </c>
      <c r="P191">
        <v>36.200000000000003</v>
      </c>
      <c r="Q191">
        <v>73.400000000000006</v>
      </c>
    </row>
    <row r="192" spans="1:17" x14ac:dyDescent="0.2">
      <c r="A192" t="s">
        <v>229</v>
      </c>
      <c r="B192" t="s">
        <v>227</v>
      </c>
      <c r="C192">
        <v>2011</v>
      </c>
      <c r="D192" s="10">
        <v>6523813.0109999999</v>
      </c>
      <c r="E192" s="10">
        <v>5626799.5209999997</v>
      </c>
      <c r="F192" s="10">
        <v>897013.49</v>
      </c>
      <c r="G192" s="8">
        <v>440.5</v>
      </c>
      <c r="H192" s="8">
        <v>1262</v>
      </c>
      <c r="I192" s="8">
        <v>1702.5</v>
      </c>
      <c r="J192" s="9">
        <v>7.83</v>
      </c>
      <c r="K192" s="9">
        <v>140.69</v>
      </c>
      <c r="L192" s="9">
        <v>26.1</v>
      </c>
      <c r="M192" s="9">
        <v>26.1</v>
      </c>
      <c r="N192">
        <v>86.25</v>
      </c>
      <c r="O192">
        <v>13.75</v>
      </c>
      <c r="P192">
        <v>36.1</v>
      </c>
      <c r="Q192">
        <v>70</v>
      </c>
    </row>
    <row r="193" spans="1:17" x14ac:dyDescent="0.2">
      <c r="A193" t="s">
        <v>230</v>
      </c>
      <c r="B193" t="s">
        <v>227</v>
      </c>
      <c r="C193">
        <v>2012</v>
      </c>
      <c r="D193" s="10">
        <v>6558282.8339999998</v>
      </c>
      <c r="E193" s="10">
        <v>5646775.034</v>
      </c>
      <c r="F193" s="10">
        <v>911507.8</v>
      </c>
      <c r="G193" s="8">
        <v>432</v>
      </c>
      <c r="H193" s="8">
        <v>1215</v>
      </c>
      <c r="I193" s="8">
        <v>1647</v>
      </c>
      <c r="J193" s="9">
        <v>7.65</v>
      </c>
      <c r="K193" s="9">
        <v>133.30000000000001</v>
      </c>
      <c r="L193" s="9">
        <v>25.11</v>
      </c>
      <c r="M193" s="9">
        <v>25.11</v>
      </c>
      <c r="N193">
        <v>86.1</v>
      </c>
      <c r="O193">
        <v>13.9</v>
      </c>
      <c r="P193">
        <v>38</v>
      </c>
      <c r="Q193">
        <v>70.599999999999994</v>
      </c>
    </row>
    <row r="194" spans="1:17" x14ac:dyDescent="0.2">
      <c r="A194" t="s">
        <v>231</v>
      </c>
      <c r="B194" t="s">
        <v>227</v>
      </c>
      <c r="C194">
        <v>2013</v>
      </c>
      <c r="D194" s="10">
        <v>6620660.2410000004</v>
      </c>
      <c r="E194" s="11">
        <v>5683188.4809999997</v>
      </c>
      <c r="F194" s="10">
        <v>937471.76</v>
      </c>
      <c r="G194" s="8">
        <v>457.5</v>
      </c>
      <c r="H194" s="8">
        <v>1396.5</v>
      </c>
      <c r="I194" s="8">
        <v>1854</v>
      </c>
      <c r="J194" s="9">
        <v>8.0500000000000007</v>
      </c>
      <c r="K194" s="9">
        <v>148.96</v>
      </c>
      <c r="L194" s="9">
        <v>28</v>
      </c>
      <c r="M194" s="9">
        <v>28</v>
      </c>
      <c r="N194">
        <v>85.84</v>
      </c>
      <c r="O194">
        <v>14.16</v>
      </c>
      <c r="P194">
        <v>37.9</v>
      </c>
      <c r="Q194">
        <v>63.6</v>
      </c>
    </row>
    <row r="195" spans="1:17" x14ac:dyDescent="0.2">
      <c r="A195" t="s">
        <v>232</v>
      </c>
      <c r="B195" t="s">
        <v>227</v>
      </c>
      <c r="C195">
        <v>2014</v>
      </c>
      <c r="D195" s="10">
        <v>6668690.9630000005</v>
      </c>
      <c r="E195" s="10">
        <v>5706306.5120000001</v>
      </c>
      <c r="F195" s="10">
        <v>962384.451</v>
      </c>
      <c r="G195" s="8">
        <v>479</v>
      </c>
      <c r="H195" s="8">
        <v>1187</v>
      </c>
      <c r="I195" s="8">
        <v>1666</v>
      </c>
      <c r="J195" s="9">
        <v>8.39</v>
      </c>
      <c r="K195" s="9">
        <v>123.34</v>
      </c>
      <c r="L195" s="9">
        <v>24.98</v>
      </c>
      <c r="M195" s="9">
        <v>24.98</v>
      </c>
      <c r="N195">
        <v>85.57</v>
      </c>
      <c r="O195">
        <v>14.43</v>
      </c>
      <c r="P195">
        <v>35.5</v>
      </c>
      <c r="Q195">
        <v>67.3</v>
      </c>
    </row>
    <row r="196" spans="1:17" x14ac:dyDescent="0.2">
      <c r="A196" t="s">
        <v>233</v>
      </c>
      <c r="B196" t="s">
        <v>227</v>
      </c>
      <c r="C196">
        <v>2015</v>
      </c>
      <c r="D196" s="10">
        <v>6684113.4610000001</v>
      </c>
      <c r="E196" s="10">
        <v>5703846.1950000003</v>
      </c>
      <c r="F196" s="10">
        <v>980267.26599999995</v>
      </c>
      <c r="G196" s="8">
        <v>458.5</v>
      </c>
      <c r="H196" s="8">
        <v>1375</v>
      </c>
      <c r="I196" s="8">
        <v>1833.5</v>
      </c>
      <c r="J196" s="9">
        <v>8.0399999999999991</v>
      </c>
      <c r="K196" s="9">
        <v>140.27000000000001</v>
      </c>
      <c r="L196" s="9">
        <v>27.43</v>
      </c>
      <c r="M196" s="9">
        <v>27.43</v>
      </c>
      <c r="N196">
        <v>85.33</v>
      </c>
      <c r="O196">
        <v>14.67</v>
      </c>
      <c r="P196">
        <v>33.299999999999997</v>
      </c>
      <c r="Q196">
        <v>59.5</v>
      </c>
    </row>
    <row r="197" spans="1:17" x14ac:dyDescent="0.2">
      <c r="A197" t="s">
        <v>234</v>
      </c>
      <c r="B197" t="s">
        <v>227</v>
      </c>
      <c r="C197">
        <v>2016</v>
      </c>
      <c r="D197" s="10">
        <v>6743712.5209999997</v>
      </c>
      <c r="E197" s="10">
        <v>5727121.6679999996</v>
      </c>
      <c r="F197" s="10">
        <v>1016590.853</v>
      </c>
      <c r="G197" s="8">
        <v>445</v>
      </c>
      <c r="H197" s="8">
        <v>1109.5</v>
      </c>
      <c r="I197" s="8">
        <v>1554.5</v>
      </c>
      <c r="J197" s="9">
        <v>7.77</v>
      </c>
      <c r="K197" s="9">
        <v>109.14</v>
      </c>
      <c r="L197" s="9">
        <v>23.05</v>
      </c>
      <c r="M197" s="9">
        <v>23.05</v>
      </c>
      <c r="N197">
        <v>84.93</v>
      </c>
      <c r="O197">
        <v>15.07</v>
      </c>
      <c r="P197">
        <v>33.299999999999997</v>
      </c>
      <c r="Q197">
        <v>59.3</v>
      </c>
    </row>
    <row r="198" spans="1:17" x14ac:dyDescent="0.2">
      <c r="A198" t="s">
        <v>235</v>
      </c>
      <c r="B198" t="s">
        <v>227</v>
      </c>
      <c r="C198">
        <v>2017</v>
      </c>
      <c r="D198" s="10">
        <v>6792932</v>
      </c>
      <c r="E198" s="10">
        <v>5743714</v>
      </c>
      <c r="F198" s="10">
        <v>1049218</v>
      </c>
      <c r="G198" s="8">
        <v>456.5</v>
      </c>
      <c r="H198" s="8">
        <v>1301.5</v>
      </c>
      <c r="I198" s="8">
        <v>1758</v>
      </c>
      <c r="J198" s="9">
        <v>7.95</v>
      </c>
      <c r="K198" s="9">
        <v>124.04</v>
      </c>
      <c r="L198" s="9">
        <v>25.88</v>
      </c>
      <c r="M198" s="9">
        <v>25.88</v>
      </c>
      <c r="N198">
        <v>84.55</v>
      </c>
      <c r="O198">
        <v>15.45</v>
      </c>
      <c r="P198">
        <v>31</v>
      </c>
    </row>
    <row r="199" spans="1:17" x14ac:dyDescent="0.2">
      <c r="A199" t="s">
        <v>236</v>
      </c>
      <c r="B199" t="s">
        <v>237</v>
      </c>
      <c r="C199">
        <v>2009</v>
      </c>
      <c r="D199" s="10">
        <v>10029454.807</v>
      </c>
      <c r="E199" s="10">
        <v>8743095.6030000001</v>
      </c>
      <c r="F199" s="10">
        <v>1286359.2039999999</v>
      </c>
      <c r="G199" s="8">
        <v>545</v>
      </c>
      <c r="H199" s="8">
        <v>1293</v>
      </c>
      <c r="I199" s="8">
        <v>1838</v>
      </c>
      <c r="J199" s="9">
        <v>6.23</v>
      </c>
      <c r="K199" s="9">
        <v>100.52</v>
      </c>
      <c r="L199" s="9">
        <v>18.329999999999998</v>
      </c>
      <c r="M199" s="9">
        <v>18.329999999999998</v>
      </c>
      <c r="N199">
        <v>87.17</v>
      </c>
      <c r="O199">
        <v>12.83</v>
      </c>
      <c r="Q199">
        <v>70.5</v>
      </c>
    </row>
    <row r="200" spans="1:17" x14ac:dyDescent="0.2">
      <c r="A200" t="s">
        <v>238</v>
      </c>
      <c r="B200" t="s">
        <v>237</v>
      </c>
      <c r="C200">
        <v>2010</v>
      </c>
      <c r="D200" s="10">
        <v>10038805.002</v>
      </c>
      <c r="E200" s="10">
        <v>8713137.557</v>
      </c>
      <c r="F200" s="10">
        <v>1325667.4450000001</v>
      </c>
      <c r="G200" s="8">
        <v>471.5</v>
      </c>
      <c r="H200" s="8">
        <v>1273.5</v>
      </c>
      <c r="I200" s="8">
        <v>1745</v>
      </c>
      <c r="J200" s="9">
        <v>5.41</v>
      </c>
      <c r="K200" s="9">
        <v>96.06</v>
      </c>
      <c r="L200" s="9">
        <v>17.38</v>
      </c>
      <c r="M200" s="9">
        <v>17.38</v>
      </c>
      <c r="N200">
        <v>86.79</v>
      </c>
      <c r="O200">
        <v>13.21</v>
      </c>
      <c r="P200">
        <v>31.2</v>
      </c>
      <c r="Q200">
        <v>65</v>
      </c>
    </row>
    <row r="201" spans="1:17" x14ac:dyDescent="0.2">
      <c r="A201" t="s">
        <v>239</v>
      </c>
      <c r="B201" t="s">
        <v>237</v>
      </c>
      <c r="C201">
        <v>2011</v>
      </c>
      <c r="D201" s="10">
        <v>10038011.937999999</v>
      </c>
      <c r="E201" s="11">
        <v>8681952.8019999992</v>
      </c>
      <c r="F201" s="10">
        <v>1356059.1359999999</v>
      </c>
      <c r="G201" s="8">
        <v>524.5</v>
      </c>
      <c r="H201" s="8">
        <v>1464.5</v>
      </c>
      <c r="I201" s="8">
        <v>1989</v>
      </c>
      <c r="J201" s="9">
        <v>6.04</v>
      </c>
      <c r="K201" s="9">
        <v>108</v>
      </c>
      <c r="L201" s="9">
        <v>19.809999999999999</v>
      </c>
      <c r="M201" s="9">
        <v>19.809999999999999</v>
      </c>
      <c r="N201">
        <v>86.49</v>
      </c>
      <c r="O201">
        <v>13.51</v>
      </c>
      <c r="P201">
        <v>30.8</v>
      </c>
      <c r="Q201">
        <v>61.6</v>
      </c>
    </row>
    <row r="202" spans="1:17" x14ac:dyDescent="0.2">
      <c r="A202" t="s">
        <v>240</v>
      </c>
      <c r="B202" t="s">
        <v>237</v>
      </c>
      <c r="C202">
        <v>2012</v>
      </c>
      <c r="D202" s="10">
        <v>9965614.602</v>
      </c>
      <c r="E202" s="10">
        <v>8588366.9670000002</v>
      </c>
      <c r="F202" s="10">
        <v>1377247.635</v>
      </c>
      <c r="G202" s="8">
        <v>493</v>
      </c>
      <c r="H202" s="8">
        <v>1334.5</v>
      </c>
      <c r="I202" s="8">
        <v>1827.5</v>
      </c>
      <c r="J202" s="9">
        <v>5.74</v>
      </c>
      <c r="K202" s="9">
        <v>96.9</v>
      </c>
      <c r="L202" s="9">
        <v>18.34</v>
      </c>
      <c r="M202" s="9">
        <v>18.34</v>
      </c>
      <c r="N202">
        <v>86.18</v>
      </c>
      <c r="O202">
        <v>13.82</v>
      </c>
      <c r="P202">
        <v>28.2</v>
      </c>
      <c r="Q202">
        <v>61</v>
      </c>
    </row>
    <row r="203" spans="1:17" x14ac:dyDescent="0.2">
      <c r="A203" t="s">
        <v>241</v>
      </c>
      <c r="B203" t="s">
        <v>237</v>
      </c>
      <c r="C203">
        <v>2013</v>
      </c>
      <c r="D203" s="10">
        <v>10001879.458000001</v>
      </c>
      <c r="E203" s="10">
        <v>8584922.5260000005</v>
      </c>
      <c r="F203" s="10">
        <v>1416956.932</v>
      </c>
      <c r="G203" s="8">
        <v>559</v>
      </c>
      <c r="H203" s="8">
        <v>1586</v>
      </c>
      <c r="I203" s="8">
        <v>2145</v>
      </c>
      <c r="J203" s="9">
        <v>6.51</v>
      </c>
      <c r="K203" s="9">
        <v>111.93</v>
      </c>
      <c r="L203" s="9">
        <v>21.45</v>
      </c>
      <c r="M203" s="9">
        <v>21.45</v>
      </c>
      <c r="N203">
        <v>85.83</v>
      </c>
      <c r="O203">
        <v>14.17</v>
      </c>
      <c r="P203">
        <v>26.9</v>
      </c>
      <c r="Q203">
        <v>62.7</v>
      </c>
    </row>
    <row r="204" spans="1:17" x14ac:dyDescent="0.2">
      <c r="A204" t="s">
        <v>242</v>
      </c>
      <c r="B204" t="s">
        <v>237</v>
      </c>
      <c r="C204">
        <v>2014</v>
      </c>
      <c r="D204" s="10">
        <v>10213733.295</v>
      </c>
      <c r="E204" s="10">
        <v>8731892.0659999996</v>
      </c>
      <c r="F204" s="10">
        <v>1481841.2290000001</v>
      </c>
      <c r="G204" s="8">
        <v>555.5</v>
      </c>
      <c r="H204" s="8">
        <v>1553</v>
      </c>
      <c r="I204" s="8">
        <v>2108.5</v>
      </c>
      <c r="J204" s="9">
        <v>6.36</v>
      </c>
      <c r="K204" s="9">
        <v>104.8</v>
      </c>
      <c r="L204" s="9">
        <v>20.64</v>
      </c>
      <c r="M204" s="9">
        <v>20.64</v>
      </c>
      <c r="N204">
        <v>85.49</v>
      </c>
      <c r="O204">
        <v>14.51</v>
      </c>
      <c r="P204">
        <v>29</v>
      </c>
      <c r="Q204">
        <v>65.7</v>
      </c>
    </row>
    <row r="205" spans="1:17" x14ac:dyDescent="0.2">
      <c r="A205" t="s">
        <v>243</v>
      </c>
      <c r="B205" t="s">
        <v>237</v>
      </c>
      <c r="C205">
        <v>2015</v>
      </c>
      <c r="D205" s="10">
        <v>9836650.0659999996</v>
      </c>
      <c r="E205" s="10">
        <v>8368306.4699999997</v>
      </c>
      <c r="F205" s="10">
        <v>1468343.5959999999</v>
      </c>
      <c r="G205" s="8">
        <v>547</v>
      </c>
      <c r="H205" s="8">
        <v>1607</v>
      </c>
      <c r="I205" s="8">
        <v>2154</v>
      </c>
      <c r="J205" s="9">
        <v>6.54</v>
      </c>
      <c r="K205" s="9">
        <v>109.44</v>
      </c>
      <c r="L205" s="9">
        <v>21.9</v>
      </c>
      <c r="M205" s="9">
        <v>21.9</v>
      </c>
      <c r="N205">
        <v>85.07</v>
      </c>
      <c r="O205">
        <v>14.93</v>
      </c>
      <c r="P205">
        <v>26.2</v>
      </c>
      <c r="Q205">
        <v>59.5</v>
      </c>
    </row>
    <row r="206" spans="1:17" x14ac:dyDescent="0.2">
      <c r="A206" t="s">
        <v>244</v>
      </c>
      <c r="B206" t="s">
        <v>237</v>
      </c>
      <c r="C206">
        <v>2016</v>
      </c>
      <c r="D206" s="10">
        <v>10038640.391000001</v>
      </c>
      <c r="E206" s="10">
        <v>8506840.6610000003</v>
      </c>
      <c r="F206" s="10">
        <v>1531799.73</v>
      </c>
      <c r="G206" s="8">
        <v>542.5</v>
      </c>
      <c r="H206" s="8">
        <v>1354</v>
      </c>
      <c r="I206" s="8">
        <v>1896.5</v>
      </c>
      <c r="J206" s="9">
        <v>6.38</v>
      </c>
      <c r="K206" s="9">
        <v>88.39</v>
      </c>
      <c r="L206" s="9">
        <v>18.89</v>
      </c>
      <c r="M206" s="9">
        <v>18.89</v>
      </c>
      <c r="N206">
        <v>84.74</v>
      </c>
      <c r="O206">
        <v>15.26</v>
      </c>
      <c r="P206">
        <v>26.7</v>
      </c>
      <c r="Q206">
        <v>62.6</v>
      </c>
    </row>
    <row r="207" spans="1:17" x14ac:dyDescent="0.2">
      <c r="A207" t="s">
        <v>245</v>
      </c>
      <c r="B207" t="s">
        <v>237</v>
      </c>
      <c r="C207">
        <v>2017</v>
      </c>
      <c r="D207" s="10">
        <v>9835701</v>
      </c>
      <c r="E207" s="10">
        <v>8290710</v>
      </c>
      <c r="F207" s="10">
        <v>1544991</v>
      </c>
      <c r="G207" s="8">
        <v>559</v>
      </c>
      <c r="H207" s="8">
        <v>1495</v>
      </c>
      <c r="I207" s="8">
        <v>2054</v>
      </c>
      <c r="J207" s="9">
        <v>6.74</v>
      </c>
      <c r="K207" s="9">
        <v>96.76</v>
      </c>
      <c r="L207" s="9">
        <v>20.88</v>
      </c>
      <c r="M207" s="9">
        <v>20.88</v>
      </c>
      <c r="N207">
        <v>84.29</v>
      </c>
      <c r="O207">
        <v>15.71</v>
      </c>
      <c r="P207">
        <v>20.2</v>
      </c>
    </row>
    <row r="208" spans="1:17" x14ac:dyDescent="0.2">
      <c r="A208" t="s">
        <v>246</v>
      </c>
      <c r="B208" t="s">
        <v>247</v>
      </c>
      <c r="C208">
        <v>2009</v>
      </c>
      <c r="D208" s="10">
        <v>5180262.6380000003</v>
      </c>
      <c r="E208" s="10">
        <v>4538579.5650000004</v>
      </c>
      <c r="F208" s="10">
        <v>641683.07299999997</v>
      </c>
      <c r="G208" s="8">
        <v>438.5</v>
      </c>
      <c r="H208" s="8">
        <v>515.5</v>
      </c>
      <c r="I208" s="8">
        <v>954</v>
      </c>
      <c r="J208" s="9">
        <v>9.66</v>
      </c>
      <c r="K208" s="9">
        <v>80.34</v>
      </c>
      <c r="L208" s="9">
        <v>18.420000000000002</v>
      </c>
      <c r="M208" s="9">
        <v>18.420000000000002</v>
      </c>
      <c r="N208">
        <v>87.61</v>
      </c>
      <c r="O208">
        <v>12.39</v>
      </c>
      <c r="Q208">
        <v>78</v>
      </c>
    </row>
    <row r="209" spans="1:17" x14ac:dyDescent="0.2">
      <c r="A209" t="s">
        <v>248</v>
      </c>
      <c r="B209" t="s">
        <v>247</v>
      </c>
      <c r="C209">
        <v>2010</v>
      </c>
      <c r="D209" s="10">
        <v>5293433.5880000005</v>
      </c>
      <c r="E209" s="10">
        <v>4629259.477</v>
      </c>
      <c r="F209" s="10">
        <v>664174.11100000003</v>
      </c>
      <c r="G209" s="8">
        <v>432</v>
      </c>
      <c r="H209" s="8">
        <v>520</v>
      </c>
      <c r="I209" s="8">
        <v>952</v>
      </c>
      <c r="J209" s="9">
        <v>9.33</v>
      </c>
      <c r="K209" s="9">
        <v>78.290000000000006</v>
      </c>
      <c r="L209" s="9">
        <v>17.98</v>
      </c>
      <c r="M209" s="9">
        <v>17.98</v>
      </c>
      <c r="N209">
        <v>87.45</v>
      </c>
      <c r="O209">
        <v>12.55</v>
      </c>
      <c r="P209">
        <v>38.5</v>
      </c>
      <c r="Q209">
        <v>70.7</v>
      </c>
    </row>
    <row r="210" spans="1:17" x14ac:dyDescent="0.2">
      <c r="A210" t="s">
        <v>249</v>
      </c>
      <c r="B210" t="s">
        <v>247</v>
      </c>
      <c r="C210">
        <v>2011</v>
      </c>
      <c r="D210" s="10">
        <v>5177639.483</v>
      </c>
      <c r="E210" s="10">
        <v>4525809.7050000001</v>
      </c>
      <c r="F210" s="10">
        <v>651829.77800000005</v>
      </c>
      <c r="G210" s="8">
        <v>432</v>
      </c>
      <c r="H210" s="8">
        <v>573</v>
      </c>
      <c r="I210" s="8">
        <v>1005</v>
      </c>
      <c r="J210" s="9">
        <v>9.5500000000000007</v>
      </c>
      <c r="K210" s="9">
        <v>87.91</v>
      </c>
      <c r="L210" s="9">
        <v>19.41</v>
      </c>
      <c r="M210" s="9">
        <v>19.41</v>
      </c>
      <c r="N210">
        <v>87.41</v>
      </c>
      <c r="O210">
        <v>12.59</v>
      </c>
      <c r="P210">
        <v>37.5</v>
      </c>
      <c r="Q210">
        <v>69.8</v>
      </c>
    </row>
    <row r="211" spans="1:17" x14ac:dyDescent="0.2">
      <c r="A211" t="s">
        <v>250</v>
      </c>
      <c r="B211" t="s">
        <v>247</v>
      </c>
      <c r="C211">
        <v>2012</v>
      </c>
      <c r="D211" s="10">
        <v>5109393.5939999996</v>
      </c>
      <c r="E211" s="10">
        <v>4462834.3969999999</v>
      </c>
      <c r="F211" s="11">
        <v>646559.196999999</v>
      </c>
      <c r="G211" s="8">
        <v>432</v>
      </c>
      <c r="H211" s="8">
        <v>571</v>
      </c>
      <c r="I211" s="8">
        <v>1003</v>
      </c>
      <c r="J211" s="9">
        <v>9.68</v>
      </c>
      <c r="K211" s="9">
        <v>88.31</v>
      </c>
      <c r="L211" s="9">
        <v>19.63</v>
      </c>
      <c r="M211" s="9">
        <v>19.63</v>
      </c>
      <c r="N211">
        <v>87.35</v>
      </c>
      <c r="O211">
        <v>12.65</v>
      </c>
      <c r="P211">
        <v>38.200000000000003</v>
      </c>
      <c r="Q211">
        <v>71.2</v>
      </c>
    </row>
    <row r="212" spans="1:17" x14ac:dyDescent="0.2">
      <c r="A212" t="s">
        <v>251</v>
      </c>
      <c r="B212" t="s">
        <v>247</v>
      </c>
      <c r="C212">
        <v>2013</v>
      </c>
      <c r="D212" s="10">
        <v>5723784.4879999999</v>
      </c>
      <c r="E212" s="10">
        <v>4928622.6579999998</v>
      </c>
      <c r="F212" s="10">
        <v>795161.83</v>
      </c>
      <c r="G212" s="8">
        <v>432</v>
      </c>
      <c r="H212" s="8">
        <v>639</v>
      </c>
      <c r="I212" s="8">
        <v>1071</v>
      </c>
      <c r="J212" s="9">
        <v>8.77</v>
      </c>
      <c r="K212" s="9">
        <v>80.36</v>
      </c>
      <c r="L212" s="9">
        <v>18.71</v>
      </c>
      <c r="M212" s="9">
        <v>18.71</v>
      </c>
      <c r="N212">
        <v>86.11</v>
      </c>
      <c r="O212">
        <v>13.89</v>
      </c>
      <c r="P212">
        <v>35</v>
      </c>
      <c r="Q212">
        <v>69.599999999999994</v>
      </c>
    </row>
    <row r="213" spans="1:17" x14ac:dyDescent="0.2">
      <c r="A213" t="s">
        <v>252</v>
      </c>
      <c r="B213" t="s">
        <v>247</v>
      </c>
      <c r="C213">
        <v>2014</v>
      </c>
      <c r="D213" s="10">
        <v>5382341.0930000003</v>
      </c>
      <c r="E213" s="10">
        <v>4662695.2319999998</v>
      </c>
      <c r="F213" s="10">
        <v>719645.86100000003</v>
      </c>
      <c r="G213" s="8">
        <v>443</v>
      </c>
      <c r="H213" s="8">
        <v>506</v>
      </c>
      <c r="I213" s="8">
        <v>949</v>
      </c>
      <c r="J213" s="9">
        <v>9.5</v>
      </c>
      <c r="K213" s="9">
        <v>70.31</v>
      </c>
      <c r="L213" s="9">
        <v>17.63</v>
      </c>
      <c r="M213" s="9">
        <v>17.63</v>
      </c>
      <c r="N213">
        <v>86.63</v>
      </c>
      <c r="O213">
        <v>13.37</v>
      </c>
      <c r="P213">
        <v>34.5</v>
      </c>
      <c r="Q213">
        <v>69.900000000000006</v>
      </c>
    </row>
    <row r="214" spans="1:17" x14ac:dyDescent="0.2">
      <c r="A214" t="s">
        <v>253</v>
      </c>
      <c r="B214" t="s">
        <v>247</v>
      </c>
      <c r="C214">
        <v>2015</v>
      </c>
      <c r="D214" s="10">
        <v>5452104.9390000002</v>
      </c>
      <c r="E214" s="10">
        <v>4697211.5659999996</v>
      </c>
      <c r="F214" s="10">
        <v>754893.37300000002</v>
      </c>
      <c r="G214" s="8">
        <v>432</v>
      </c>
      <c r="H214" s="8">
        <v>629.5</v>
      </c>
      <c r="I214" s="8">
        <v>1061.5</v>
      </c>
      <c r="J214" s="9">
        <v>9.1999999999999993</v>
      </c>
      <c r="K214" s="9">
        <v>83.39</v>
      </c>
      <c r="L214" s="9">
        <v>19.47</v>
      </c>
      <c r="M214" s="9">
        <v>19.47</v>
      </c>
      <c r="N214">
        <v>86.15</v>
      </c>
      <c r="O214">
        <v>13.85</v>
      </c>
      <c r="P214">
        <v>31.7</v>
      </c>
      <c r="Q214">
        <v>65.900000000000006</v>
      </c>
    </row>
    <row r="215" spans="1:17" x14ac:dyDescent="0.2">
      <c r="A215" t="s">
        <v>254</v>
      </c>
      <c r="B215" t="s">
        <v>247</v>
      </c>
      <c r="C215">
        <v>2016</v>
      </c>
      <c r="D215" s="10">
        <v>5448725.6210000003</v>
      </c>
      <c r="E215" s="10">
        <v>4673092.3190000001</v>
      </c>
      <c r="F215" s="11">
        <v>775633.30199999898</v>
      </c>
      <c r="G215" s="8">
        <v>432</v>
      </c>
      <c r="H215" s="8">
        <v>429.5</v>
      </c>
      <c r="I215" s="8">
        <v>861.5</v>
      </c>
      <c r="J215" s="9">
        <v>9.24</v>
      </c>
      <c r="K215" s="9">
        <v>55.37</v>
      </c>
      <c r="L215" s="9">
        <v>15.81</v>
      </c>
      <c r="M215" s="9">
        <v>15.81</v>
      </c>
      <c r="N215">
        <v>85.76</v>
      </c>
      <c r="O215">
        <v>14.24</v>
      </c>
      <c r="P215">
        <v>34.9</v>
      </c>
      <c r="Q215">
        <v>69.599999999999994</v>
      </c>
    </row>
    <row r="216" spans="1:17" x14ac:dyDescent="0.2">
      <c r="A216" t="s">
        <v>255</v>
      </c>
      <c r="B216" t="s">
        <v>247</v>
      </c>
      <c r="C216">
        <v>2017</v>
      </c>
      <c r="D216" s="10">
        <v>5314189</v>
      </c>
      <c r="E216" s="10">
        <v>4540255</v>
      </c>
      <c r="F216" s="10">
        <v>773934</v>
      </c>
      <c r="G216" s="8">
        <v>432</v>
      </c>
      <c r="H216" s="8">
        <v>568.5</v>
      </c>
      <c r="I216" s="8">
        <v>1000.5</v>
      </c>
      <c r="J216" s="9">
        <v>9.51</v>
      </c>
      <c r="K216" s="9">
        <v>73.459999999999994</v>
      </c>
      <c r="L216" s="9">
        <v>18.829999999999998</v>
      </c>
      <c r="M216" s="9">
        <v>18.829999999999998</v>
      </c>
      <c r="N216">
        <v>85.44</v>
      </c>
      <c r="O216">
        <v>14.56</v>
      </c>
      <c r="P216">
        <v>28.3</v>
      </c>
    </row>
    <row r="217" spans="1:17" x14ac:dyDescent="0.2">
      <c r="A217" t="s">
        <v>256</v>
      </c>
      <c r="B217" t="s">
        <v>257</v>
      </c>
      <c r="C217">
        <v>2009</v>
      </c>
      <c r="D217" s="10">
        <v>2989011.3870000001</v>
      </c>
      <c r="E217" s="10">
        <v>2614058.7039999999</v>
      </c>
      <c r="F217" s="10">
        <v>374952.68300000002</v>
      </c>
      <c r="G217" s="8">
        <v>432</v>
      </c>
      <c r="H217" s="8">
        <v>453.5</v>
      </c>
      <c r="I217" s="8">
        <v>885.5</v>
      </c>
      <c r="J217" s="9">
        <v>16.53</v>
      </c>
      <c r="K217" s="9">
        <v>120.95</v>
      </c>
      <c r="L217" s="9">
        <v>29.63</v>
      </c>
      <c r="M217" s="9">
        <v>29.63</v>
      </c>
      <c r="N217">
        <v>87.46</v>
      </c>
      <c r="O217">
        <v>12.54</v>
      </c>
      <c r="Q217">
        <v>72.3</v>
      </c>
    </row>
    <row r="218" spans="1:17" x14ac:dyDescent="0.2">
      <c r="A218" t="s">
        <v>258</v>
      </c>
      <c r="B218" t="s">
        <v>257</v>
      </c>
      <c r="C218">
        <v>2010</v>
      </c>
      <c r="D218" s="10">
        <v>2829199.7510000002</v>
      </c>
      <c r="E218" s="10">
        <v>2476941.8119999999</v>
      </c>
      <c r="F218" s="10">
        <v>352257.93900000001</v>
      </c>
      <c r="G218" s="8">
        <v>437.5</v>
      </c>
      <c r="H218" s="8">
        <v>429.5</v>
      </c>
      <c r="I218" s="8">
        <v>867</v>
      </c>
      <c r="J218" s="9">
        <v>17.66</v>
      </c>
      <c r="K218" s="9">
        <v>121.93</v>
      </c>
      <c r="L218" s="9">
        <v>30.64</v>
      </c>
      <c r="M218" s="9">
        <v>30.64</v>
      </c>
      <c r="N218">
        <v>87.55</v>
      </c>
      <c r="O218">
        <v>12.45</v>
      </c>
      <c r="P218">
        <v>32.700000000000003</v>
      </c>
      <c r="Q218">
        <v>69.900000000000006</v>
      </c>
    </row>
    <row r="219" spans="1:17" x14ac:dyDescent="0.2">
      <c r="A219" t="s">
        <v>259</v>
      </c>
      <c r="B219" t="s">
        <v>257</v>
      </c>
      <c r="C219">
        <v>2011</v>
      </c>
      <c r="D219" s="10">
        <v>2985322.0150000001</v>
      </c>
      <c r="E219" s="10">
        <v>2603282.4330000002</v>
      </c>
      <c r="F219" s="10">
        <v>382039.58199999999</v>
      </c>
      <c r="G219" s="8">
        <v>432</v>
      </c>
      <c r="H219" s="8">
        <v>484</v>
      </c>
      <c r="I219" s="8">
        <v>916</v>
      </c>
      <c r="J219" s="9">
        <v>16.59</v>
      </c>
      <c r="K219" s="9">
        <v>126.69</v>
      </c>
      <c r="L219" s="9">
        <v>30.68</v>
      </c>
      <c r="M219" s="9">
        <v>30.68</v>
      </c>
      <c r="N219">
        <v>87.2</v>
      </c>
      <c r="O219">
        <v>12.8</v>
      </c>
      <c r="P219">
        <v>27.9</v>
      </c>
      <c r="Q219">
        <v>68.8</v>
      </c>
    </row>
    <row r="220" spans="1:17" x14ac:dyDescent="0.2">
      <c r="A220" t="s">
        <v>260</v>
      </c>
      <c r="B220" t="s">
        <v>257</v>
      </c>
      <c r="C220">
        <v>2012</v>
      </c>
      <c r="D220" s="10">
        <v>2995314.7429999998</v>
      </c>
      <c r="E220" s="10">
        <v>2605334.0559999999</v>
      </c>
      <c r="F220" s="10">
        <v>389980.68699999998</v>
      </c>
      <c r="G220" s="8">
        <v>432</v>
      </c>
      <c r="H220" s="8">
        <v>443.5</v>
      </c>
      <c r="I220" s="8">
        <v>875.5</v>
      </c>
      <c r="J220" s="9">
        <v>16.579999999999998</v>
      </c>
      <c r="K220" s="9">
        <v>113.72</v>
      </c>
      <c r="L220" s="9">
        <v>29.23</v>
      </c>
      <c r="M220" s="9">
        <v>29.23</v>
      </c>
      <c r="N220">
        <v>86.98</v>
      </c>
      <c r="O220">
        <v>13.02</v>
      </c>
      <c r="P220">
        <v>27.2</v>
      </c>
      <c r="Q220">
        <v>67.3</v>
      </c>
    </row>
    <row r="221" spans="1:17" x14ac:dyDescent="0.2">
      <c r="A221" t="s">
        <v>261</v>
      </c>
      <c r="B221" t="s">
        <v>257</v>
      </c>
      <c r="C221">
        <v>2013</v>
      </c>
      <c r="D221" s="10">
        <v>3052352.99</v>
      </c>
      <c r="E221" s="10">
        <v>2643946.247</v>
      </c>
      <c r="F221" s="10">
        <v>408406.74300000002</v>
      </c>
      <c r="G221" s="8">
        <v>456.5</v>
      </c>
      <c r="H221" s="8">
        <v>591.5</v>
      </c>
      <c r="I221" s="8">
        <v>1048</v>
      </c>
      <c r="J221" s="9">
        <v>17.27</v>
      </c>
      <c r="K221" s="9">
        <v>144.83000000000001</v>
      </c>
      <c r="L221" s="9">
        <v>34.33</v>
      </c>
      <c r="M221" s="9">
        <v>34.33</v>
      </c>
      <c r="N221">
        <v>86.62</v>
      </c>
      <c r="O221">
        <v>13.38</v>
      </c>
      <c r="P221">
        <v>21.1</v>
      </c>
    </row>
    <row r="222" spans="1:17" x14ac:dyDescent="0.2">
      <c r="A222" t="s">
        <v>262</v>
      </c>
      <c r="B222" t="s">
        <v>257</v>
      </c>
      <c r="C222">
        <v>2014</v>
      </c>
      <c r="D222" s="10">
        <v>3027891.699</v>
      </c>
      <c r="E222" s="10">
        <v>2604429.0649999999</v>
      </c>
      <c r="F222" s="10">
        <v>423462.63400000002</v>
      </c>
      <c r="G222" s="8">
        <v>492</v>
      </c>
      <c r="H222" s="8">
        <v>552</v>
      </c>
      <c r="I222" s="8">
        <v>1044</v>
      </c>
      <c r="J222" s="9">
        <v>18.89</v>
      </c>
      <c r="K222" s="9">
        <v>130.35</v>
      </c>
      <c r="L222" s="9">
        <v>34.479999999999997</v>
      </c>
      <c r="M222" s="9">
        <v>34.479999999999997</v>
      </c>
      <c r="N222">
        <v>86.01</v>
      </c>
      <c r="O222">
        <v>13.99</v>
      </c>
      <c r="P222">
        <v>29.2</v>
      </c>
      <c r="Q222">
        <v>67.8</v>
      </c>
    </row>
    <row r="223" spans="1:17" x14ac:dyDescent="0.2">
      <c r="A223" t="s">
        <v>263</v>
      </c>
      <c r="B223" t="s">
        <v>257</v>
      </c>
      <c r="C223">
        <v>2015</v>
      </c>
      <c r="D223" s="10">
        <v>2934133.3930000002</v>
      </c>
      <c r="E223" s="10">
        <v>2525490.7110000001</v>
      </c>
      <c r="F223" s="10">
        <v>408642.68199999997</v>
      </c>
      <c r="G223" s="8">
        <v>451.5</v>
      </c>
      <c r="H223" s="8">
        <v>641.5</v>
      </c>
      <c r="I223" s="8">
        <v>1093</v>
      </c>
      <c r="J223" s="9">
        <v>17.88</v>
      </c>
      <c r="K223" s="9">
        <v>156.97999999999999</v>
      </c>
      <c r="L223" s="9">
        <v>37.25</v>
      </c>
      <c r="M223" s="9">
        <v>37.25</v>
      </c>
      <c r="N223">
        <v>86.07</v>
      </c>
      <c r="O223">
        <v>13.93</v>
      </c>
      <c r="P223">
        <v>25.2</v>
      </c>
      <c r="Q223">
        <v>66.3</v>
      </c>
    </row>
    <row r="224" spans="1:17" x14ac:dyDescent="0.2">
      <c r="A224" t="s">
        <v>264</v>
      </c>
      <c r="B224" t="s">
        <v>257</v>
      </c>
      <c r="C224">
        <v>2016</v>
      </c>
      <c r="D224" s="10">
        <v>3041887.074</v>
      </c>
      <c r="E224" s="10">
        <v>2603000.5440000002</v>
      </c>
      <c r="F224" s="10">
        <v>438886.53</v>
      </c>
      <c r="G224" s="8">
        <v>463.5</v>
      </c>
      <c r="H224" s="8">
        <v>615.5</v>
      </c>
      <c r="I224" s="8">
        <v>1079</v>
      </c>
      <c r="J224" s="9">
        <v>17.809999999999999</v>
      </c>
      <c r="K224" s="9">
        <v>140.24</v>
      </c>
      <c r="L224" s="9">
        <v>35.47</v>
      </c>
      <c r="M224" s="9">
        <v>35.47</v>
      </c>
      <c r="N224">
        <v>85.57</v>
      </c>
      <c r="O224">
        <v>14.43</v>
      </c>
      <c r="P224">
        <v>24.8</v>
      </c>
      <c r="Q224">
        <v>59.7</v>
      </c>
    </row>
    <row r="225" spans="1:17" x14ac:dyDescent="0.2">
      <c r="A225" t="s">
        <v>265</v>
      </c>
      <c r="B225" t="s">
        <v>257</v>
      </c>
      <c r="C225">
        <v>2017</v>
      </c>
      <c r="D225" s="10">
        <v>2679353</v>
      </c>
      <c r="E225" s="10">
        <v>2274018</v>
      </c>
      <c r="F225" s="10">
        <v>405335</v>
      </c>
      <c r="G225" s="8">
        <v>468</v>
      </c>
      <c r="H225" s="8">
        <v>585</v>
      </c>
      <c r="I225" s="8">
        <v>1053</v>
      </c>
      <c r="J225" s="9">
        <v>20.58</v>
      </c>
      <c r="K225" s="9">
        <v>144.33000000000001</v>
      </c>
      <c r="L225" s="9">
        <v>39.299999999999997</v>
      </c>
      <c r="M225" s="9">
        <v>39.299999999999997</v>
      </c>
      <c r="N225">
        <v>84.87</v>
      </c>
      <c r="O225">
        <v>15.13</v>
      </c>
      <c r="P225">
        <v>23.9</v>
      </c>
    </row>
    <row r="226" spans="1:17" x14ac:dyDescent="0.2">
      <c r="A226" t="s">
        <v>266</v>
      </c>
      <c r="B226" t="s">
        <v>267</v>
      </c>
      <c r="C226">
        <v>2009</v>
      </c>
      <c r="D226" s="10">
        <v>5783416.659</v>
      </c>
      <c r="E226" s="10">
        <v>5006230.7609999999</v>
      </c>
      <c r="F226" s="11">
        <v>777185.897999999</v>
      </c>
      <c r="G226" s="8">
        <v>475</v>
      </c>
      <c r="H226" s="8">
        <v>1117</v>
      </c>
      <c r="I226" s="8">
        <v>1592</v>
      </c>
      <c r="J226" s="9">
        <v>9.49</v>
      </c>
      <c r="K226" s="9">
        <v>143.72</v>
      </c>
      <c r="L226" s="9">
        <v>27.53</v>
      </c>
      <c r="M226" s="9">
        <v>27.53</v>
      </c>
      <c r="N226">
        <v>86.56</v>
      </c>
      <c r="O226">
        <v>13.44</v>
      </c>
      <c r="Q226">
        <v>69.900000000000006</v>
      </c>
    </row>
    <row r="227" spans="1:17" x14ac:dyDescent="0.2">
      <c r="A227" t="s">
        <v>268</v>
      </c>
      <c r="B227" t="s">
        <v>267</v>
      </c>
      <c r="C227">
        <v>2010</v>
      </c>
      <c r="D227" s="10">
        <v>5873035.6090000002</v>
      </c>
      <c r="E227" s="10">
        <v>5065562.0630000001</v>
      </c>
      <c r="F227" s="10">
        <v>807473.54599999997</v>
      </c>
      <c r="G227" s="8">
        <v>445</v>
      </c>
      <c r="H227" s="8">
        <v>1004</v>
      </c>
      <c r="I227" s="8">
        <v>1449</v>
      </c>
      <c r="J227" s="9">
        <v>8.7799999999999994</v>
      </c>
      <c r="K227" s="9">
        <v>124.34</v>
      </c>
      <c r="L227" s="9">
        <v>24.67</v>
      </c>
      <c r="M227" s="9">
        <v>24.67</v>
      </c>
      <c r="N227">
        <v>86.25</v>
      </c>
      <c r="O227">
        <v>13.75</v>
      </c>
      <c r="P227">
        <v>35.4</v>
      </c>
      <c r="Q227">
        <v>65.900000000000006</v>
      </c>
    </row>
    <row r="228" spans="1:17" x14ac:dyDescent="0.2">
      <c r="A228" t="s">
        <v>269</v>
      </c>
      <c r="B228" t="s">
        <v>267</v>
      </c>
      <c r="C228">
        <v>2011</v>
      </c>
      <c r="D228" s="10">
        <v>5885273.7050000001</v>
      </c>
      <c r="E228" s="10">
        <v>5073465.0999999996</v>
      </c>
      <c r="F228" s="10">
        <v>811808.60499999998</v>
      </c>
      <c r="G228" s="8">
        <v>457.5</v>
      </c>
      <c r="H228" s="8">
        <v>1014.5</v>
      </c>
      <c r="I228" s="8">
        <v>1472</v>
      </c>
      <c r="J228" s="9">
        <v>9.02</v>
      </c>
      <c r="K228" s="9">
        <v>124.97</v>
      </c>
      <c r="L228" s="9">
        <v>25.01</v>
      </c>
      <c r="M228" s="9">
        <v>25.01</v>
      </c>
      <c r="N228">
        <v>86.21</v>
      </c>
      <c r="O228">
        <v>13.79</v>
      </c>
      <c r="P228">
        <v>31.5</v>
      </c>
      <c r="Q228">
        <v>70.8</v>
      </c>
    </row>
    <row r="229" spans="1:17" x14ac:dyDescent="0.2">
      <c r="A229" t="s">
        <v>270</v>
      </c>
      <c r="B229" t="s">
        <v>267</v>
      </c>
      <c r="C229">
        <v>2012</v>
      </c>
      <c r="D229" s="10">
        <v>5974144.585</v>
      </c>
      <c r="E229" s="10">
        <v>5132634.409</v>
      </c>
      <c r="F229" s="10">
        <v>841510.17599999998</v>
      </c>
      <c r="G229" s="8">
        <v>474</v>
      </c>
      <c r="H229" s="8">
        <v>1028</v>
      </c>
      <c r="I229" s="8">
        <v>1502</v>
      </c>
      <c r="J229" s="9">
        <v>9.24</v>
      </c>
      <c r="K229" s="9">
        <v>122.16</v>
      </c>
      <c r="L229" s="9">
        <v>25.14</v>
      </c>
      <c r="M229" s="9">
        <v>25.14</v>
      </c>
      <c r="N229">
        <v>85.91</v>
      </c>
      <c r="O229">
        <v>14.09</v>
      </c>
      <c r="P229">
        <v>32.5</v>
      </c>
      <c r="Q229">
        <v>72.400000000000006</v>
      </c>
    </row>
    <row r="230" spans="1:17" x14ac:dyDescent="0.2">
      <c r="A230" t="s">
        <v>271</v>
      </c>
      <c r="B230" t="s">
        <v>267</v>
      </c>
      <c r="C230">
        <v>2013</v>
      </c>
      <c r="D230" s="10">
        <v>5785925.148</v>
      </c>
      <c r="E230" s="10">
        <v>4965788.068</v>
      </c>
      <c r="F230" s="10">
        <v>820137.08</v>
      </c>
      <c r="G230" s="8">
        <v>464.5</v>
      </c>
      <c r="H230" s="8">
        <v>1134.5</v>
      </c>
      <c r="I230" s="8">
        <v>1599</v>
      </c>
      <c r="J230" s="9">
        <v>9.35</v>
      </c>
      <c r="K230" s="9">
        <v>138.33000000000001</v>
      </c>
      <c r="L230" s="9">
        <v>27.64</v>
      </c>
      <c r="M230" s="9">
        <v>27.64</v>
      </c>
      <c r="N230">
        <v>85.83</v>
      </c>
      <c r="O230">
        <v>14.17</v>
      </c>
      <c r="P230">
        <v>34</v>
      </c>
      <c r="Q230">
        <v>72.599999999999994</v>
      </c>
    </row>
    <row r="231" spans="1:17" x14ac:dyDescent="0.2">
      <c r="A231" t="s">
        <v>272</v>
      </c>
      <c r="B231" t="s">
        <v>267</v>
      </c>
      <c r="C231">
        <v>2014</v>
      </c>
      <c r="D231" s="11">
        <v>6310776.2579999901</v>
      </c>
      <c r="E231" s="10">
        <v>5386946.5839999998</v>
      </c>
      <c r="F231" s="10">
        <v>923829.674</v>
      </c>
      <c r="G231" s="8">
        <v>492</v>
      </c>
      <c r="H231" s="8">
        <v>1099</v>
      </c>
      <c r="I231" s="8">
        <v>1591</v>
      </c>
      <c r="J231" s="9">
        <v>9.1300000000000008</v>
      </c>
      <c r="K231" s="9">
        <v>118.96</v>
      </c>
      <c r="L231" s="9">
        <v>25.21</v>
      </c>
      <c r="M231" s="9">
        <v>25.21</v>
      </c>
      <c r="N231">
        <v>85.36</v>
      </c>
      <c r="O231">
        <v>14.64</v>
      </c>
      <c r="P231">
        <v>34.799999999999997</v>
      </c>
      <c r="Q231">
        <v>72.5</v>
      </c>
    </row>
    <row r="232" spans="1:17" x14ac:dyDescent="0.2">
      <c r="A232" t="s">
        <v>273</v>
      </c>
      <c r="B232" t="s">
        <v>267</v>
      </c>
      <c r="C232">
        <v>2015</v>
      </c>
      <c r="D232" s="10">
        <v>5955774.7889999999</v>
      </c>
      <c r="E232" s="10">
        <v>5069476.1560000004</v>
      </c>
      <c r="F232" s="10">
        <v>886298.63300000003</v>
      </c>
      <c r="G232" s="8">
        <v>454.5</v>
      </c>
      <c r="H232" s="8">
        <v>1153.5</v>
      </c>
      <c r="I232" s="8">
        <v>1608</v>
      </c>
      <c r="J232" s="9">
        <v>8.9700000000000006</v>
      </c>
      <c r="K232" s="9">
        <v>130.15</v>
      </c>
      <c r="L232" s="9">
        <v>27</v>
      </c>
      <c r="M232" s="9">
        <v>27</v>
      </c>
      <c r="N232">
        <v>85.12</v>
      </c>
      <c r="O232">
        <v>14.88</v>
      </c>
      <c r="P232">
        <v>29.9</v>
      </c>
      <c r="Q232">
        <v>69.8</v>
      </c>
    </row>
    <row r="233" spans="1:17" x14ac:dyDescent="0.2">
      <c r="A233" t="s">
        <v>274</v>
      </c>
      <c r="B233" t="s">
        <v>267</v>
      </c>
      <c r="C233">
        <v>2016</v>
      </c>
      <c r="D233" s="10">
        <v>6185729.2479999997</v>
      </c>
      <c r="E233" s="10">
        <v>5239788.62</v>
      </c>
      <c r="F233" s="10">
        <v>945940.62800000003</v>
      </c>
      <c r="G233" s="8">
        <v>480.5</v>
      </c>
      <c r="H233" s="8">
        <v>956</v>
      </c>
      <c r="I233" s="8">
        <v>1436.5</v>
      </c>
      <c r="J233" s="9">
        <v>9.17</v>
      </c>
      <c r="K233" s="9">
        <v>101.06</v>
      </c>
      <c r="L233" s="9">
        <v>23.22</v>
      </c>
      <c r="M233" s="9">
        <v>23.22</v>
      </c>
      <c r="N233">
        <v>84.71</v>
      </c>
      <c r="O233">
        <v>15.29</v>
      </c>
      <c r="P233">
        <v>32.299999999999997</v>
      </c>
      <c r="Q233">
        <v>71.099999999999994</v>
      </c>
    </row>
    <row r="234" spans="1:17" x14ac:dyDescent="0.2">
      <c r="A234" t="s">
        <v>275</v>
      </c>
      <c r="B234" t="s">
        <v>267</v>
      </c>
      <c r="C234">
        <v>2017</v>
      </c>
      <c r="D234" s="10">
        <v>5897576</v>
      </c>
      <c r="E234" s="10">
        <v>4987969</v>
      </c>
      <c r="F234" s="10">
        <v>909607</v>
      </c>
      <c r="G234" s="8">
        <v>443</v>
      </c>
      <c r="H234" s="8">
        <v>1110.5</v>
      </c>
      <c r="I234" s="8">
        <v>1553.5</v>
      </c>
      <c r="J234" s="9">
        <v>8.8800000000000008</v>
      </c>
      <c r="K234" s="9">
        <v>122.09</v>
      </c>
      <c r="L234" s="9">
        <v>26.34</v>
      </c>
      <c r="M234" s="9">
        <v>26.34</v>
      </c>
      <c r="N234">
        <v>84.58</v>
      </c>
      <c r="O234">
        <v>15.42</v>
      </c>
      <c r="P234">
        <v>25.8</v>
      </c>
    </row>
    <row r="235" spans="1:17" x14ac:dyDescent="0.2">
      <c r="A235" t="s">
        <v>276</v>
      </c>
      <c r="B235" t="s">
        <v>277</v>
      </c>
      <c r="C235">
        <v>2009</v>
      </c>
      <c r="D235" s="10">
        <v>939344.66700000002</v>
      </c>
      <c r="E235" s="10">
        <v>807505.98600000003</v>
      </c>
      <c r="F235" s="10">
        <v>131838.68100000001</v>
      </c>
      <c r="G235" s="8">
        <v>432</v>
      </c>
      <c r="H235" s="8">
        <v>180</v>
      </c>
      <c r="I235" s="8">
        <v>612</v>
      </c>
      <c r="J235" s="9">
        <v>53.5</v>
      </c>
      <c r="K235" s="9">
        <v>136.53</v>
      </c>
      <c r="L235" s="9">
        <v>65.150000000000006</v>
      </c>
      <c r="M235" s="9">
        <v>65.150000000000006</v>
      </c>
      <c r="N235">
        <v>85.96</v>
      </c>
      <c r="O235">
        <v>14.04</v>
      </c>
      <c r="Q235">
        <v>71.599999999999994</v>
      </c>
    </row>
    <row r="236" spans="1:17" x14ac:dyDescent="0.2">
      <c r="A236" t="s">
        <v>278</v>
      </c>
      <c r="B236" t="s">
        <v>277</v>
      </c>
      <c r="C236">
        <v>2010</v>
      </c>
      <c r="D236" s="10">
        <v>938096.45200000005</v>
      </c>
      <c r="E236" s="10">
        <v>804009.78</v>
      </c>
      <c r="F236" s="10">
        <v>134086.67199999999</v>
      </c>
      <c r="G236" s="8">
        <v>432</v>
      </c>
      <c r="H236" s="8">
        <v>192.5</v>
      </c>
      <c r="I236" s="8">
        <v>624.5</v>
      </c>
      <c r="J236" s="9">
        <v>53.73</v>
      </c>
      <c r="K236" s="9">
        <v>143.56</v>
      </c>
      <c r="L236" s="9">
        <v>66.569999999999993</v>
      </c>
      <c r="M236" s="9">
        <v>66.569999999999993</v>
      </c>
      <c r="N236">
        <v>85.71</v>
      </c>
      <c r="O236">
        <v>14.29</v>
      </c>
      <c r="P236">
        <v>29.2</v>
      </c>
      <c r="Q236">
        <v>63</v>
      </c>
    </row>
    <row r="237" spans="1:17" x14ac:dyDescent="0.2">
      <c r="A237" t="s">
        <v>279</v>
      </c>
      <c r="B237" t="s">
        <v>277</v>
      </c>
      <c r="C237">
        <v>2011</v>
      </c>
      <c r="D237" s="10">
        <v>995454.06200000003</v>
      </c>
      <c r="E237" s="11">
        <v>849504.49899999995</v>
      </c>
      <c r="F237" s="10">
        <v>145949.56299999999</v>
      </c>
      <c r="G237" s="8">
        <v>432</v>
      </c>
      <c r="H237" s="8">
        <v>180</v>
      </c>
      <c r="I237" s="8">
        <v>612</v>
      </c>
      <c r="J237" s="9">
        <v>50.85</v>
      </c>
      <c r="K237" s="9">
        <v>123.33</v>
      </c>
      <c r="L237" s="9">
        <v>61.48</v>
      </c>
      <c r="M237" s="9">
        <v>61.48</v>
      </c>
      <c r="N237">
        <v>85.34</v>
      </c>
      <c r="O237">
        <v>14.66</v>
      </c>
      <c r="P237">
        <v>28.6</v>
      </c>
      <c r="Q237">
        <v>59.8</v>
      </c>
    </row>
    <row r="238" spans="1:17" x14ac:dyDescent="0.2">
      <c r="A238" t="s">
        <v>280</v>
      </c>
      <c r="B238" t="s">
        <v>277</v>
      </c>
      <c r="C238">
        <v>2012</v>
      </c>
      <c r="D238" s="10">
        <v>969989.06099999999</v>
      </c>
      <c r="E238" s="10">
        <v>823031.23199999996</v>
      </c>
      <c r="F238" s="10">
        <v>146957.829</v>
      </c>
      <c r="G238" s="8">
        <v>432</v>
      </c>
      <c r="H238" s="8">
        <v>187.5</v>
      </c>
      <c r="I238" s="8">
        <v>619.5</v>
      </c>
      <c r="J238" s="9">
        <v>52.49</v>
      </c>
      <c r="K238" s="9">
        <v>127.59</v>
      </c>
      <c r="L238" s="9">
        <v>63.87</v>
      </c>
      <c r="M238" s="9">
        <v>63.87</v>
      </c>
      <c r="N238">
        <v>84.85</v>
      </c>
      <c r="O238">
        <v>15.15</v>
      </c>
      <c r="P238">
        <v>30.9</v>
      </c>
      <c r="Q238">
        <v>65.599999999999994</v>
      </c>
    </row>
    <row r="239" spans="1:17" x14ac:dyDescent="0.2">
      <c r="A239" t="s">
        <v>281</v>
      </c>
      <c r="B239" t="s">
        <v>277</v>
      </c>
      <c r="C239">
        <v>2013</v>
      </c>
      <c r="D239" s="10">
        <v>963378.56099999999</v>
      </c>
      <c r="E239" s="11">
        <v>815792.64299999899</v>
      </c>
      <c r="F239" s="10">
        <v>147585.91800000001</v>
      </c>
      <c r="G239" s="8">
        <v>432</v>
      </c>
      <c r="H239" s="8">
        <v>215</v>
      </c>
      <c r="I239" s="8">
        <v>647</v>
      </c>
      <c r="J239" s="9">
        <v>52.95</v>
      </c>
      <c r="K239" s="9">
        <v>145.68</v>
      </c>
      <c r="L239" s="9">
        <v>67.16</v>
      </c>
      <c r="M239" s="9">
        <v>67.16</v>
      </c>
      <c r="N239">
        <v>84.68</v>
      </c>
      <c r="O239">
        <v>15.32</v>
      </c>
      <c r="P239">
        <v>24.7</v>
      </c>
      <c r="Q239">
        <v>65.5</v>
      </c>
    </row>
    <row r="240" spans="1:17" x14ac:dyDescent="0.2">
      <c r="A240" t="s">
        <v>282</v>
      </c>
      <c r="B240" t="s">
        <v>277</v>
      </c>
      <c r="C240">
        <v>2014</v>
      </c>
      <c r="D240" s="10">
        <v>918840.97499999998</v>
      </c>
      <c r="E240" s="10">
        <v>776872.576</v>
      </c>
      <c r="F240" s="10">
        <v>141968.399</v>
      </c>
      <c r="G240" s="8">
        <v>432</v>
      </c>
      <c r="H240" s="8">
        <v>190</v>
      </c>
      <c r="I240" s="8">
        <v>622</v>
      </c>
      <c r="J240" s="9">
        <v>55.61</v>
      </c>
      <c r="K240" s="9">
        <v>133.83000000000001</v>
      </c>
      <c r="L240" s="9">
        <v>67.69</v>
      </c>
      <c r="M240" s="9">
        <v>67.69</v>
      </c>
      <c r="N240">
        <v>84.55</v>
      </c>
      <c r="O240">
        <v>15.45</v>
      </c>
      <c r="P240">
        <v>32.4</v>
      </c>
      <c r="Q240">
        <v>67.5</v>
      </c>
    </row>
    <row r="241" spans="1:17" x14ac:dyDescent="0.2">
      <c r="A241" t="s">
        <v>283</v>
      </c>
      <c r="B241" t="s">
        <v>277</v>
      </c>
      <c r="C241">
        <v>2015</v>
      </c>
      <c r="D241" s="10">
        <v>1067054.6980000001</v>
      </c>
      <c r="E241" s="10">
        <v>891916.13</v>
      </c>
      <c r="F241" s="10">
        <v>175138.568</v>
      </c>
      <c r="G241" s="8">
        <v>432</v>
      </c>
      <c r="H241" s="8">
        <v>202</v>
      </c>
      <c r="I241" s="8">
        <v>634</v>
      </c>
      <c r="J241" s="9">
        <v>48.44</v>
      </c>
      <c r="K241" s="9">
        <v>115.34</v>
      </c>
      <c r="L241" s="9">
        <v>59.42</v>
      </c>
      <c r="M241" s="9">
        <v>59.42</v>
      </c>
      <c r="N241">
        <v>83.59</v>
      </c>
      <c r="O241">
        <v>16.41</v>
      </c>
      <c r="P241">
        <v>31.8</v>
      </c>
      <c r="Q241">
        <v>60.5</v>
      </c>
    </row>
    <row r="242" spans="1:17" x14ac:dyDescent="0.2">
      <c r="A242" t="s">
        <v>284</v>
      </c>
      <c r="B242" t="s">
        <v>277</v>
      </c>
      <c r="C242">
        <v>2016</v>
      </c>
      <c r="D242" s="10">
        <v>1030144.933</v>
      </c>
      <c r="E242" s="10">
        <v>858945.15399999998</v>
      </c>
      <c r="F242" s="10">
        <v>171199.77900000001</v>
      </c>
      <c r="G242" s="8">
        <v>432</v>
      </c>
      <c r="H242" s="8">
        <v>168.5</v>
      </c>
      <c r="I242" s="8">
        <v>600.5</v>
      </c>
      <c r="J242" s="9">
        <v>50.29</v>
      </c>
      <c r="K242" s="9">
        <v>98.42</v>
      </c>
      <c r="L242" s="9">
        <v>58.29</v>
      </c>
      <c r="M242" s="9">
        <v>58.29</v>
      </c>
      <c r="N242">
        <v>83.38</v>
      </c>
      <c r="O242">
        <v>16.62</v>
      </c>
      <c r="P242">
        <v>30.1</v>
      </c>
      <c r="Q242">
        <v>64.5</v>
      </c>
    </row>
    <row r="243" spans="1:17" x14ac:dyDescent="0.2">
      <c r="A243" t="s">
        <v>285</v>
      </c>
      <c r="B243" t="s">
        <v>277</v>
      </c>
      <c r="C243">
        <v>2017</v>
      </c>
      <c r="D243" s="10">
        <v>924716</v>
      </c>
      <c r="E243" s="10">
        <v>770885</v>
      </c>
      <c r="F243" s="10">
        <v>153831</v>
      </c>
      <c r="G243" s="8">
        <v>432</v>
      </c>
      <c r="H243" s="8">
        <v>198</v>
      </c>
      <c r="I243" s="8">
        <v>630</v>
      </c>
      <c r="J243" s="9">
        <v>56.04</v>
      </c>
      <c r="K243" s="9">
        <v>128.71</v>
      </c>
      <c r="L243" s="9">
        <v>68.13</v>
      </c>
      <c r="M243" s="9">
        <v>68.13</v>
      </c>
      <c r="N243">
        <v>83.36</v>
      </c>
      <c r="O243">
        <v>16.64</v>
      </c>
      <c r="P243">
        <v>28.7</v>
      </c>
    </row>
    <row r="244" spans="1:17" x14ac:dyDescent="0.2">
      <c r="A244" t="s">
        <v>286</v>
      </c>
      <c r="B244" t="s">
        <v>287</v>
      </c>
      <c r="C244">
        <v>2009</v>
      </c>
      <c r="D244" s="10">
        <v>1743525.064</v>
      </c>
      <c r="E244" s="11">
        <v>1511291.92499999</v>
      </c>
      <c r="F244" s="10">
        <v>232233.139</v>
      </c>
      <c r="G244" s="8">
        <v>432</v>
      </c>
      <c r="H244" s="8">
        <v>247</v>
      </c>
      <c r="I244" s="8">
        <v>679</v>
      </c>
      <c r="J244" s="9">
        <v>28.58</v>
      </c>
      <c r="K244" s="9">
        <v>106.36</v>
      </c>
      <c r="L244" s="9">
        <v>38.94</v>
      </c>
      <c r="M244" s="9">
        <v>38.94</v>
      </c>
      <c r="N244">
        <v>86.68</v>
      </c>
      <c r="O244">
        <v>13.32</v>
      </c>
      <c r="Q244">
        <v>76.8</v>
      </c>
    </row>
    <row r="245" spans="1:17" x14ac:dyDescent="0.2">
      <c r="A245" t="s">
        <v>288</v>
      </c>
      <c r="B245" t="s">
        <v>287</v>
      </c>
      <c r="C245">
        <v>2010</v>
      </c>
      <c r="D245" s="10">
        <v>1789612.2339999999</v>
      </c>
      <c r="E245" s="10">
        <v>1549562.567</v>
      </c>
      <c r="F245" s="10">
        <v>240049.66699999999</v>
      </c>
      <c r="G245" s="8">
        <v>432</v>
      </c>
      <c r="H245" s="8">
        <v>256</v>
      </c>
      <c r="I245" s="8">
        <v>688</v>
      </c>
      <c r="J245" s="9">
        <v>27.88</v>
      </c>
      <c r="K245" s="9">
        <v>106.64</v>
      </c>
      <c r="L245" s="9">
        <v>38.44</v>
      </c>
      <c r="M245" s="9">
        <v>38.44</v>
      </c>
      <c r="N245">
        <v>86.59</v>
      </c>
      <c r="O245">
        <v>13.41</v>
      </c>
      <c r="P245">
        <v>35.799999999999997</v>
      </c>
      <c r="Q245">
        <v>67.3</v>
      </c>
    </row>
    <row r="246" spans="1:17" x14ac:dyDescent="0.2">
      <c r="A246" t="s">
        <v>289</v>
      </c>
      <c r="B246" t="s">
        <v>287</v>
      </c>
      <c r="C246">
        <v>2011</v>
      </c>
      <c r="D246" s="10">
        <v>1819537.9369999999</v>
      </c>
      <c r="E246" s="10">
        <v>1574317.111</v>
      </c>
      <c r="F246" s="10">
        <v>245220.826</v>
      </c>
      <c r="G246" s="8">
        <v>432</v>
      </c>
      <c r="H246" s="8">
        <v>301.5</v>
      </c>
      <c r="I246" s="8">
        <v>733.5</v>
      </c>
      <c r="J246" s="9">
        <v>27.44</v>
      </c>
      <c r="K246" s="9">
        <v>122.95</v>
      </c>
      <c r="L246" s="9">
        <v>40.31</v>
      </c>
      <c r="M246" s="9">
        <v>40.31</v>
      </c>
      <c r="N246">
        <v>86.52</v>
      </c>
      <c r="O246">
        <v>13.48</v>
      </c>
      <c r="P246">
        <v>35.1</v>
      </c>
      <c r="Q246">
        <v>67.099999999999994</v>
      </c>
    </row>
    <row r="247" spans="1:17" x14ac:dyDescent="0.2">
      <c r="A247" t="s">
        <v>290</v>
      </c>
      <c r="B247" t="s">
        <v>287</v>
      </c>
      <c r="C247">
        <v>2012</v>
      </c>
      <c r="D247" s="10">
        <v>1777516.841</v>
      </c>
      <c r="E247" s="10">
        <v>1539115.8030000001</v>
      </c>
      <c r="F247" s="10">
        <v>238401.038</v>
      </c>
      <c r="G247" s="8">
        <v>432</v>
      </c>
      <c r="H247" s="8">
        <v>276</v>
      </c>
      <c r="I247" s="8">
        <v>708</v>
      </c>
      <c r="J247" s="9">
        <v>28.07</v>
      </c>
      <c r="K247" s="9">
        <v>115.77</v>
      </c>
      <c r="L247" s="9">
        <v>39.83</v>
      </c>
      <c r="M247" s="9">
        <v>39.83</v>
      </c>
      <c r="N247">
        <v>86.59</v>
      </c>
      <c r="O247">
        <v>13.41</v>
      </c>
      <c r="P247">
        <v>34.9</v>
      </c>
      <c r="Q247">
        <v>70.400000000000006</v>
      </c>
    </row>
    <row r="248" spans="1:17" x14ac:dyDescent="0.2">
      <c r="A248" t="s">
        <v>291</v>
      </c>
      <c r="B248" t="s">
        <v>287</v>
      </c>
      <c r="C248">
        <v>2013</v>
      </c>
      <c r="D248" s="10">
        <v>1810431.1869999999</v>
      </c>
      <c r="E248" s="10">
        <v>1565374.2279999999</v>
      </c>
      <c r="F248" s="10">
        <v>245056.959</v>
      </c>
      <c r="G248" s="8">
        <v>432</v>
      </c>
      <c r="H248" s="8">
        <v>320.5</v>
      </c>
      <c r="I248" s="8">
        <v>752.5</v>
      </c>
      <c r="J248" s="9">
        <v>27.6</v>
      </c>
      <c r="K248" s="9">
        <v>130.79</v>
      </c>
      <c r="L248" s="9">
        <v>41.56</v>
      </c>
      <c r="M248" s="9">
        <v>41.56</v>
      </c>
      <c r="N248">
        <v>86.46</v>
      </c>
      <c r="O248">
        <v>13.54</v>
      </c>
      <c r="P248">
        <v>32.700000000000003</v>
      </c>
      <c r="Q248">
        <v>69.900000000000006</v>
      </c>
    </row>
    <row r="249" spans="1:17" x14ac:dyDescent="0.2">
      <c r="A249" t="s">
        <v>292</v>
      </c>
      <c r="B249" t="s">
        <v>287</v>
      </c>
      <c r="C249">
        <v>2014</v>
      </c>
      <c r="D249" s="10">
        <v>1857199.8230000001</v>
      </c>
      <c r="E249" s="10">
        <v>1595842.54</v>
      </c>
      <c r="F249" s="10">
        <v>261357.283</v>
      </c>
      <c r="G249" s="8">
        <v>432</v>
      </c>
      <c r="H249" s="8">
        <v>295</v>
      </c>
      <c r="I249" s="8">
        <v>727</v>
      </c>
      <c r="J249" s="9">
        <v>27.07</v>
      </c>
      <c r="K249" s="9">
        <v>112.87</v>
      </c>
      <c r="L249" s="9">
        <v>39.14</v>
      </c>
      <c r="M249" s="9">
        <v>39.14</v>
      </c>
      <c r="N249">
        <v>85.93</v>
      </c>
      <c r="O249">
        <v>14.07</v>
      </c>
      <c r="P249">
        <v>34.700000000000003</v>
      </c>
      <c r="Q249">
        <v>72.599999999999994</v>
      </c>
    </row>
    <row r="250" spans="1:17" x14ac:dyDescent="0.2">
      <c r="A250" t="s">
        <v>293</v>
      </c>
      <c r="B250" t="s">
        <v>287</v>
      </c>
      <c r="C250">
        <v>2015</v>
      </c>
      <c r="D250" s="10">
        <v>1929198.575</v>
      </c>
      <c r="E250" s="10">
        <v>1652199.9609999999</v>
      </c>
      <c r="F250" s="10">
        <v>276998.614</v>
      </c>
      <c r="G250" s="8">
        <v>432</v>
      </c>
      <c r="H250" s="8">
        <v>320.5</v>
      </c>
      <c r="I250" s="8">
        <v>752.5</v>
      </c>
      <c r="J250" s="9">
        <v>26.15</v>
      </c>
      <c r="K250" s="9">
        <v>115.7</v>
      </c>
      <c r="L250" s="9">
        <v>39.01</v>
      </c>
      <c r="M250" s="9">
        <v>39.01</v>
      </c>
      <c r="N250">
        <v>85.64</v>
      </c>
      <c r="O250">
        <v>14.36</v>
      </c>
      <c r="P250">
        <v>31.7</v>
      </c>
      <c r="Q250">
        <v>64.599999999999994</v>
      </c>
    </row>
    <row r="251" spans="1:17" x14ac:dyDescent="0.2">
      <c r="A251" t="s">
        <v>294</v>
      </c>
      <c r="B251" t="s">
        <v>287</v>
      </c>
      <c r="C251">
        <v>2016</v>
      </c>
      <c r="D251" s="10">
        <v>1939668.2379999999</v>
      </c>
      <c r="E251" s="10">
        <v>1656227.922</v>
      </c>
      <c r="F251" s="10">
        <v>283440.31599999999</v>
      </c>
      <c r="G251" s="8">
        <v>432</v>
      </c>
      <c r="H251" s="8">
        <v>295</v>
      </c>
      <c r="I251" s="8">
        <v>727</v>
      </c>
      <c r="J251" s="9">
        <v>26.08</v>
      </c>
      <c r="K251" s="9">
        <v>104.08</v>
      </c>
      <c r="L251" s="9">
        <v>37.479999999999997</v>
      </c>
      <c r="M251" s="9">
        <v>37.479999999999997</v>
      </c>
      <c r="N251">
        <v>85.39</v>
      </c>
      <c r="O251">
        <v>14.61</v>
      </c>
      <c r="P251">
        <v>33.5</v>
      </c>
      <c r="Q251">
        <v>68.7</v>
      </c>
    </row>
    <row r="252" spans="1:17" x14ac:dyDescent="0.2">
      <c r="A252" t="s">
        <v>295</v>
      </c>
      <c r="B252" t="s">
        <v>287</v>
      </c>
      <c r="C252">
        <v>2017</v>
      </c>
      <c r="D252" s="10">
        <v>1837106</v>
      </c>
      <c r="E252" s="10">
        <v>1569886</v>
      </c>
      <c r="F252" s="10">
        <v>267220</v>
      </c>
      <c r="G252" s="8">
        <v>432</v>
      </c>
      <c r="H252" s="8">
        <v>342</v>
      </c>
      <c r="I252" s="8">
        <v>774</v>
      </c>
      <c r="J252" s="9">
        <v>27.52</v>
      </c>
      <c r="K252" s="9">
        <v>127.98</v>
      </c>
      <c r="L252" s="9">
        <v>42.13</v>
      </c>
      <c r="M252" s="9">
        <v>42.13</v>
      </c>
      <c r="N252">
        <v>85.45</v>
      </c>
      <c r="O252">
        <v>14.55</v>
      </c>
      <c r="P252">
        <v>26.9</v>
      </c>
    </row>
    <row r="253" spans="1:17" x14ac:dyDescent="0.2">
      <c r="A253" t="s">
        <v>296</v>
      </c>
      <c r="B253" t="s">
        <v>297</v>
      </c>
      <c r="C253">
        <v>2009</v>
      </c>
      <c r="D253" s="10">
        <v>2538210.4959999998</v>
      </c>
      <c r="E253" s="11">
        <v>2250670.7129999902</v>
      </c>
      <c r="F253" s="10">
        <v>287539.783</v>
      </c>
      <c r="G253" s="8">
        <v>437.5</v>
      </c>
      <c r="H253" s="8">
        <v>347.5</v>
      </c>
      <c r="I253" s="8">
        <v>785</v>
      </c>
      <c r="J253" s="9">
        <v>19.440000000000001</v>
      </c>
      <c r="K253" s="9">
        <v>120.85</v>
      </c>
      <c r="L253" s="9">
        <v>30.93</v>
      </c>
      <c r="M253" s="9">
        <v>30.93</v>
      </c>
      <c r="N253">
        <v>88.67</v>
      </c>
      <c r="O253">
        <v>11.33</v>
      </c>
      <c r="Q253">
        <v>64.2</v>
      </c>
    </row>
    <row r="254" spans="1:17" x14ac:dyDescent="0.2">
      <c r="A254" t="s">
        <v>298</v>
      </c>
      <c r="B254" t="s">
        <v>297</v>
      </c>
      <c r="C254">
        <v>2010</v>
      </c>
      <c r="D254" s="10">
        <v>2633035.557</v>
      </c>
      <c r="E254" s="10">
        <v>2331275.6850000001</v>
      </c>
      <c r="F254" s="10">
        <v>301759.87199999997</v>
      </c>
      <c r="G254" s="8">
        <v>432</v>
      </c>
      <c r="H254" s="8">
        <v>318.5</v>
      </c>
      <c r="I254" s="8">
        <v>750.5</v>
      </c>
      <c r="J254" s="9">
        <v>18.53</v>
      </c>
      <c r="K254" s="9">
        <v>105.55</v>
      </c>
      <c r="L254" s="9">
        <v>28.5</v>
      </c>
      <c r="M254" s="9">
        <v>28.5</v>
      </c>
      <c r="N254">
        <v>88.54</v>
      </c>
      <c r="O254">
        <v>11.46</v>
      </c>
      <c r="P254">
        <v>29.8</v>
      </c>
      <c r="Q254">
        <v>60.9</v>
      </c>
    </row>
    <row r="255" spans="1:17" x14ac:dyDescent="0.2">
      <c r="A255" t="s">
        <v>299</v>
      </c>
      <c r="B255" t="s">
        <v>297</v>
      </c>
      <c r="C255">
        <v>2011</v>
      </c>
      <c r="D255" s="10">
        <v>2673082.58</v>
      </c>
      <c r="E255" s="11">
        <v>2357980.6529999902</v>
      </c>
      <c r="F255" s="10">
        <v>315101.92700000003</v>
      </c>
      <c r="G255" s="8">
        <v>432</v>
      </c>
      <c r="H255" s="8">
        <v>321</v>
      </c>
      <c r="I255" s="8">
        <v>753</v>
      </c>
      <c r="J255" s="9">
        <v>18.32</v>
      </c>
      <c r="K255" s="9">
        <v>101.87</v>
      </c>
      <c r="L255" s="9">
        <v>28.17</v>
      </c>
      <c r="M255" s="9">
        <v>28.17</v>
      </c>
      <c r="N255">
        <v>88.21</v>
      </c>
      <c r="O255">
        <v>11.79</v>
      </c>
      <c r="P255">
        <v>22.3</v>
      </c>
      <c r="Q255">
        <v>52.2</v>
      </c>
    </row>
    <row r="256" spans="1:17" x14ac:dyDescent="0.2">
      <c r="A256" t="s">
        <v>300</v>
      </c>
      <c r="B256" t="s">
        <v>297</v>
      </c>
      <c r="C256">
        <v>2012</v>
      </c>
      <c r="D256" s="11">
        <v>2687976.8709999998</v>
      </c>
      <c r="E256" s="10">
        <v>2360156.753</v>
      </c>
      <c r="F256" s="10">
        <v>327820.11800000002</v>
      </c>
      <c r="G256" s="8">
        <v>432</v>
      </c>
      <c r="H256" s="8">
        <v>368</v>
      </c>
      <c r="I256" s="8">
        <v>800</v>
      </c>
      <c r="J256" s="9">
        <v>18.3</v>
      </c>
      <c r="K256" s="9">
        <v>112.26</v>
      </c>
      <c r="L256" s="9">
        <v>29.76</v>
      </c>
      <c r="M256" s="9">
        <v>29.76</v>
      </c>
      <c r="N256">
        <v>87.8</v>
      </c>
      <c r="O256">
        <v>12.2</v>
      </c>
      <c r="P256">
        <v>26.8</v>
      </c>
      <c r="Q256">
        <v>53</v>
      </c>
    </row>
    <row r="257" spans="1:17" x14ac:dyDescent="0.2">
      <c r="A257" t="s">
        <v>301</v>
      </c>
      <c r="B257" t="s">
        <v>297</v>
      </c>
      <c r="C257">
        <v>2013</v>
      </c>
      <c r="D257" s="10">
        <v>2725487.0440000002</v>
      </c>
      <c r="E257" s="10">
        <v>2381034.0389999999</v>
      </c>
      <c r="F257" s="10">
        <v>344453.005</v>
      </c>
      <c r="G257" s="8">
        <v>446</v>
      </c>
      <c r="H257" s="8">
        <v>329.5</v>
      </c>
      <c r="I257" s="8">
        <v>775.5</v>
      </c>
      <c r="J257" s="9">
        <v>18.73</v>
      </c>
      <c r="K257" s="9">
        <v>95.66</v>
      </c>
      <c r="L257" s="9">
        <v>28.45</v>
      </c>
      <c r="M257" s="9">
        <v>28.45</v>
      </c>
      <c r="N257">
        <v>87.36</v>
      </c>
      <c r="O257">
        <v>12.64</v>
      </c>
      <c r="P257">
        <v>23.4</v>
      </c>
      <c r="Q257">
        <v>53.6</v>
      </c>
    </row>
    <row r="258" spans="1:17" x14ac:dyDescent="0.2">
      <c r="A258" t="s">
        <v>302</v>
      </c>
      <c r="B258" t="s">
        <v>297</v>
      </c>
      <c r="C258">
        <v>2014</v>
      </c>
      <c r="D258" s="10">
        <v>2767387.037</v>
      </c>
      <c r="E258" s="10">
        <v>2402744.8769999999</v>
      </c>
      <c r="F258" s="10">
        <v>364642.16</v>
      </c>
      <c r="G258" s="8">
        <v>450.5</v>
      </c>
      <c r="H258" s="8">
        <v>501.5</v>
      </c>
      <c r="I258" s="8">
        <v>952</v>
      </c>
      <c r="J258" s="9">
        <v>18.75</v>
      </c>
      <c r="K258" s="9">
        <v>137.53</v>
      </c>
      <c r="L258" s="9">
        <v>34.4</v>
      </c>
      <c r="M258" s="9">
        <v>34.4</v>
      </c>
      <c r="N258">
        <v>86.82</v>
      </c>
      <c r="O258">
        <v>13.18</v>
      </c>
      <c r="P258">
        <v>25.6</v>
      </c>
      <c r="Q258">
        <v>58.9</v>
      </c>
    </row>
    <row r="259" spans="1:17" x14ac:dyDescent="0.2">
      <c r="A259" t="s">
        <v>303</v>
      </c>
      <c r="B259" t="s">
        <v>297</v>
      </c>
      <c r="C259">
        <v>2015</v>
      </c>
      <c r="D259" s="10">
        <v>2888840.4350000001</v>
      </c>
      <c r="E259" s="10">
        <v>2497603.4929999998</v>
      </c>
      <c r="F259" s="10">
        <v>391236.94199999998</v>
      </c>
      <c r="G259" s="8">
        <v>450.5</v>
      </c>
      <c r="H259" s="8">
        <v>462.5</v>
      </c>
      <c r="I259" s="8">
        <v>913</v>
      </c>
      <c r="J259" s="9">
        <v>18.04</v>
      </c>
      <c r="K259" s="9">
        <v>118.21</v>
      </c>
      <c r="L259" s="9">
        <v>31.6</v>
      </c>
      <c r="M259" s="9">
        <v>31.6</v>
      </c>
      <c r="N259">
        <v>86.46</v>
      </c>
      <c r="O259">
        <v>13.54</v>
      </c>
      <c r="P259">
        <v>24</v>
      </c>
      <c r="Q259">
        <v>59.6</v>
      </c>
    </row>
    <row r="260" spans="1:17" x14ac:dyDescent="0.2">
      <c r="A260" t="s">
        <v>304</v>
      </c>
      <c r="B260" t="s">
        <v>297</v>
      </c>
      <c r="C260">
        <v>2016</v>
      </c>
      <c r="D260" s="11">
        <v>2938986.1060000001</v>
      </c>
      <c r="E260" s="11">
        <v>2516701.4509999999</v>
      </c>
      <c r="F260" s="10">
        <v>422284.65500000003</v>
      </c>
      <c r="G260" s="8">
        <v>461</v>
      </c>
      <c r="H260" s="8">
        <v>381</v>
      </c>
      <c r="I260" s="8">
        <v>842</v>
      </c>
      <c r="J260" s="9">
        <v>18.32</v>
      </c>
      <c r="K260" s="9">
        <v>90.22</v>
      </c>
      <c r="L260" s="9">
        <v>28.65</v>
      </c>
      <c r="M260" s="9">
        <v>28.65</v>
      </c>
      <c r="N260">
        <v>85.63</v>
      </c>
      <c r="O260">
        <v>14.37</v>
      </c>
      <c r="P260">
        <v>24.2</v>
      </c>
      <c r="Q260">
        <v>58.6</v>
      </c>
    </row>
    <row r="261" spans="1:17" x14ac:dyDescent="0.2">
      <c r="A261" t="s">
        <v>305</v>
      </c>
      <c r="B261" t="s">
        <v>297</v>
      </c>
      <c r="C261">
        <v>2017</v>
      </c>
      <c r="D261" s="10">
        <v>2871151</v>
      </c>
      <c r="E261" s="10">
        <v>2449461</v>
      </c>
      <c r="F261" s="10">
        <v>421690</v>
      </c>
      <c r="G261" s="8">
        <v>463</v>
      </c>
      <c r="H261" s="8">
        <v>444</v>
      </c>
      <c r="I261" s="8">
        <v>907</v>
      </c>
      <c r="J261" s="9">
        <v>18.899999999999999</v>
      </c>
      <c r="K261" s="9">
        <v>105.29</v>
      </c>
      <c r="L261" s="9">
        <v>31.59</v>
      </c>
      <c r="M261" s="9">
        <v>31.59</v>
      </c>
      <c r="N261">
        <v>85.31</v>
      </c>
      <c r="O261">
        <v>14.69</v>
      </c>
      <c r="P261">
        <v>22.8</v>
      </c>
    </row>
    <row r="262" spans="1:17" x14ac:dyDescent="0.2">
      <c r="A262" t="s">
        <v>306</v>
      </c>
      <c r="B262" t="s">
        <v>307</v>
      </c>
      <c r="C262">
        <v>2009</v>
      </c>
      <c r="D262" s="10">
        <v>1316131.1459999999</v>
      </c>
      <c r="E262" s="10">
        <v>1146953.0279999999</v>
      </c>
      <c r="F262" s="10">
        <v>169178.11799999999</v>
      </c>
      <c r="G262" s="8">
        <v>432</v>
      </c>
      <c r="H262" s="8">
        <v>193</v>
      </c>
      <c r="I262" s="8">
        <v>625</v>
      </c>
      <c r="J262" s="9">
        <v>37.67</v>
      </c>
      <c r="K262" s="9">
        <v>114.08</v>
      </c>
      <c r="L262" s="9">
        <v>47.49</v>
      </c>
      <c r="M262" s="9">
        <v>47.49</v>
      </c>
      <c r="N262">
        <v>87.15</v>
      </c>
      <c r="O262">
        <v>12.85</v>
      </c>
      <c r="Q262">
        <v>77.900000000000006</v>
      </c>
    </row>
    <row r="263" spans="1:17" x14ac:dyDescent="0.2">
      <c r="A263" t="s">
        <v>308</v>
      </c>
      <c r="B263" t="s">
        <v>307</v>
      </c>
      <c r="C263">
        <v>2010</v>
      </c>
      <c r="D263" s="11">
        <v>1313396.068</v>
      </c>
      <c r="E263" s="10">
        <v>1143077.3500000001</v>
      </c>
      <c r="F263" s="10">
        <v>170318.71799999999</v>
      </c>
      <c r="G263" s="8">
        <v>432</v>
      </c>
      <c r="H263" s="8">
        <v>202.5</v>
      </c>
      <c r="I263" s="8">
        <v>634.5</v>
      </c>
      <c r="J263" s="9">
        <v>37.79</v>
      </c>
      <c r="K263" s="9">
        <v>118.89</v>
      </c>
      <c r="L263" s="9">
        <v>48.31</v>
      </c>
      <c r="M263" s="9">
        <v>48.31</v>
      </c>
      <c r="N263">
        <v>87.03</v>
      </c>
      <c r="O263">
        <v>12.97</v>
      </c>
      <c r="P263">
        <v>35.200000000000003</v>
      </c>
      <c r="Q263">
        <v>61.7</v>
      </c>
    </row>
    <row r="264" spans="1:17" x14ac:dyDescent="0.2">
      <c r="A264" t="s">
        <v>309</v>
      </c>
      <c r="B264" t="s">
        <v>307</v>
      </c>
      <c r="C264">
        <v>2011</v>
      </c>
      <c r="D264" s="11">
        <v>1333414.899</v>
      </c>
      <c r="E264" s="10">
        <v>1157381.7860000001</v>
      </c>
      <c r="F264" s="10">
        <v>176033.11300000001</v>
      </c>
      <c r="G264" s="8">
        <v>432</v>
      </c>
      <c r="H264" s="8">
        <v>234.5</v>
      </c>
      <c r="I264" s="8">
        <v>666.5</v>
      </c>
      <c r="J264" s="9">
        <v>37.33</v>
      </c>
      <c r="K264" s="9">
        <v>133.21</v>
      </c>
      <c r="L264" s="9">
        <v>49.98</v>
      </c>
      <c r="M264" s="9">
        <v>49.98</v>
      </c>
      <c r="N264">
        <v>86.8</v>
      </c>
      <c r="O264">
        <v>13.2</v>
      </c>
      <c r="P264">
        <v>32.200000000000003</v>
      </c>
      <c r="Q264">
        <v>62.9</v>
      </c>
    </row>
    <row r="265" spans="1:17" x14ac:dyDescent="0.2">
      <c r="A265" t="s">
        <v>310</v>
      </c>
      <c r="B265" t="s">
        <v>307</v>
      </c>
      <c r="C265">
        <v>2012</v>
      </c>
      <c r="D265" s="10">
        <v>1318463.709</v>
      </c>
      <c r="E265" s="10">
        <v>1137306.324</v>
      </c>
      <c r="F265" s="10">
        <v>181157.38500000001</v>
      </c>
      <c r="G265" s="8">
        <v>432</v>
      </c>
      <c r="H265" s="8">
        <v>228.5</v>
      </c>
      <c r="I265" s="8">
        <v>660.5</v>
      </c>
      <c r="J265" s="9">
        <v>37.979999999999997</v>
      </c>
      <c r="K265" s="9">
        <v>126.13</v>
      </c>
      <c r="L265" s="9">
        <v>50.1</v>
      </c>
      <c r="M265" s="9">
        <v>50.1</v>
      </c>
      <c r="N265">
        <v>86.26</v>
      </c>
      <c r="O265">
        <v>13.74</v>
      </c>
      <c r="P265">
        <v>33</v>
      </c>
      <c r="Q265">
        <v>69.7</v>
      </c>
    </row>
    <row r="266" spans="1:17" x14ac:dyDescent="0.2">
      <c r="A266" t="s">
        <v>311</v>
      </c>
      <c r="B266" t="s">
        <v>307</v>
      </c>
      <c r="C266">
        <v>2013</v>
      </c>
      <c r="D266" s="10">
        <v>1318911.6569999999</v>
      </c>
      <c r="E266" s="11">
        <v>1132052.095</v>
      </c>
      <c r="F266" s="10">
        <v>186859.56200000001</v>
      </c>
      <c r="G266" s="8">
        <v>432</v>
      </c>
      <c r="H266" s="8">
        <v>224</v>
      </c>
      <c r="I266" s="8">
        <v>656</v>
      </c>
      <c r="J266" s="9">
        <v>38.159999999999997</v>
      </c>
      <c r="K266" s="9">
        <v>119.88</v>
      </c>
      <c r="L266" s="9">
        <v>49.74</v>
      </c>
      <c r="M266" s="9">
        <v>49.74</v>
      </c>
      <c r="N266">
        <v>85.83</v>
      </c>
      <c r="O266">
        <v>14.17</v>
      </c>
      <c r="P266">
        <v>33</v>
      </c>
      <c r="Q266">
        <v>64.5</v>
      </c>
    </row>
    <row r="267" spans="1:17" x14ac:dyDescent="0.2">
      <c r="A267" t="s">
        <v>312</v>
      </c>
      <c r="B267" t="s">
        <v>307</v>
      </c>
      <c r="C267">
        <v>2014</v>
      </c>
      <c r="D267" s="10">
        <v>1278043.5689999999</v>
      </c>
      <c r="E267" s="10">
        <v>1091816.0660000001</v>
      </c>
      <c r="F267" s="10">
        <v>186227.503</v>
      </c>
      <c r="G267" s="8">
        <v>432</v>
      </c>
      <c r="H267" s="8">
        <v>198.5</v>
      </c>
      <c r="I267" s="8">
        <v>630.5</v>
      </c>
      <c r="J267" s="9">
        <v>39.57</v>
      </c>
      <c r="K267" s="9">
        <v>106.59</v>
      </c>
      <c r="L267" s="9">
        <v>49.33</v>
      </c>
      <c r="M267" s="9">
        <v>49.33</v>
      </c>
      <c r="N267">
        <v>85.43</v>
      </c>
      <c r="O267">
        <v>14.57</v>
      </c>
      <c r="P267">
        <v>35.299999999999997</v>
      </c>
      <c r="Q267">
        <v>67.8</v>
      </c>
    </row>
    <row r="268" spans="1:17" x14ac:dyDescent="0.2">
      <c r="A268" t="s">
        <v>313</v>
      </c>
      <c r="B268" t="s">
        <v>307</v>
      </c>
      <c r="C268">
        <v>2015</v>
      </c>
      <c r="D268" s="10">
        <v>1244868.737</v>
      </c>
      <c r="E268" s="10">
        <v>1060674.743</v>
      </c>
      <c r="F268" s="10">
        <v>184193.99400000001</v>
      </c>
      <c r="G268" s="8">
        <v>432</v>
      </c>
      <c r="H268" s="8">
        <v>261.5</v>
      </c>
      <c r="I268" s="8">
        <v>693.5</v>
      </c>
      <c r="J268" s="9">
        <v>40.729999999999997</v>
      </c>
      <c r="K268" s="9">
        <v>141.97</v>
      </c>
      <c r="L268" s="9">
        <v>55.71</v>
      </c>
      <c r="M268" s="9">
        <v>55.71</v>
      </c>
      <c r="N268">
        <v>85.2</v>
      </c>
      <c r="O268">
        <v>14.8</v>
      </c>
      <c r="P268">
        <v>34.5</v>
      </c>
      <c r="Q268">
        <v>69.400000000000006</v>
      </c>
    </row>
    <row r="269" spans="1:17" x14ac:dyDescent="0.2">
      <c r="A269" t="s">
        <v>314</v>
      </c>
      <c r="B269" t="s">
        <v>307</v>
      </c>
      <c r="C269">
        <v>2016</v>
      </c>
      <c r="D269" s="10">
        <v>1327147.719</v>
      </c>
      <c r="E269" s="10">
        <v>1116633.7350000001</v>
      </c>
      <c r="F269" s="10">
        <v>210513.984</v>
      </c>
      <c r="G269" s="8">
        <v>432</v>
      </c>
      <c r="H269" s="8">
        <v>189</v>
      </c>
      <c r="I269" s="8">
        <v>621</v>
      </c>
      <c r="J269" s="9">
        <v>38.69</v>
      </c>
      <c r="K269" s="9">
        <v>89.78</v>
      </c>
      <c r="L269" s="9">
        <v>46.79</v>
      </c>
      <c r="M269" s="9">
        <v>46.79</v>
      </c>
      <c r="N269">
        <v>84.14</v>
      </c>
      <c r="O269">
        <v>15.86</v>
      </c>
      <c r="P269">
        <v>32.1</v>
      </c>
      <c r="Q269">
        <v>65.599999999999994</v>
      </c>
    </row>
    <row r="270" spans="1:17" x14ac:dyDescent="0.2">
      <c r="A270" t="s">
        <v>315</v>
      </c>
      <c r="B270" t="s">
        <v>307</v>
      </c>
      <c r="C270">
        <v>2017</v>
      </c>
      <c r="D270" s="10">
        <v>1375382</v>
      </c>
      <c r="E270" s="10">
        <v>1150082</v>
      </c>
      <c r="F270" s="10">
        <v>225300</v>
      </c>
      <c r="G270" s="8">
        <v>432</v>
      </c>
      <c r="H270" s="8">
        <v>228.5</v>
      </c>
      <c r="I270" s="8">
        <v>660.5</v>
      </c>
      <c r="J270" s="9">
        <v>37.56</v>
      </c>
      <c r="K270" s="9">
        <v>101.42</v>
      </c>
      <c r="L270" s="9">
        <v>48.02</v>
      </c>
      <c r="M270" s="9">
        <v>48.02</v>
      </c>
      <c r="N270">
        <v>83.62</v>
      </c>
      <c r="O270">
        <v>16.38</v>
      </c>
      <c r="P270">
        <v>25.5</v>
      </c>
    </row>
    <row r="271" spans="1:17" x14ac:dyDescent="0.2">
      <c r="A271" t="s">
        <v>316</v>
      </c>
      <c r="B271" t="s">
        <v>317</v>
      </c>
      <c r="C271">
        <v>2009</v>
      </c>
      <c r="D271" s="10">
        <v>8650962.8929999992</v>
      </c>
      <c r="E271" s="10">
        <v>7509541.8839999996</v>
      </c>
      <c r="F271" s="10">
        <v>1141421.0090000001</v>
      </c>
      <c r="G271" s="8">
        <v>474</v>
      </c>
      <c r="H271" s="8">
        <v>1092</v>
      </c>
      <c r="I271" s="8">
        <v>1566</v>
      </c>
      <c r="J271" s="9">
        <v>6.31</v>
      </c>
      <c r="K271" s="9">
        <v>95.67</v>
      </c>
      <c r="L271" s="9">
        <v>18.100000000000001</v>
      </c>
      <c r="M271" s="9">
        <v>18.100000000000001</v>
      </c>
      <c r="N271">
        <v>86.81</v>
      </c>
      <c r="O271">
        <v>13.19</v>
      </c>
      <c r="Q271">
        <v>67.8</v>
      </c>
    </row>
    <row r="272" spans="1:17" x14ac:dyDescent="0.2">
      <c r="A272" t="s">
        <v>318</v>
      </c>
      <c r="B272" t="s">
        <v>317</v>
      </c>
      <c r="C272">
        <v>2010</v>
      </c>
      <c r="D272" s="10">
        <v>8721299.8680000007</v>
      </c>
      <c r="E272" s="10">
        <v>7565713.5820000004</v>
      </c>
      <c r="F272" s="10">
        <v>1155586.2860000001</v>
      </c>
      <c r="G272" s="8">
        <v>449.5</v>
      </c>
      <c r="H272" s="8">
        <v>946.5</v>
      </c>
      <c r="I272" s="8">
        <v>1396</v>
      </c>
      <c r="J272" s="9">
        <v>5.94</v>
      </c>
      <c r="K272" s="9">
        <v>81.91</v>
      </c>
      <c r="L272" s="9">
        <v>16.010000000000002</v>
      </c>
      <c r="M272" s="9">
        <v>16.010000000000002</v>
      </c>
      <c r="N272">
        <v>86.75</v>
      </c>
      <c r="O272">
        <v>13.25</v>
      </c>
      <c r="P272">
        <v>28.2</v>
      </c>
      <c r="Q272">
        <v>66.5</v>
      </c>
    </row>
    <row r="273" spans="1:17" x14ac:dyDescent="0.2">
      <c r="A273" t="s">
        <v>319</v>
      </c>
      <c r="B273" t="s">
        <v>317</v>
      </c>
      <c r="C273">
        <v>2011</v>
      </c>
      <c r="D273" s="10">
        <v>8749832.8359999992</v>
      </c>
      <c r="E273" s="10">
        <v>7576792.1579999998</v>
      </c>
      <c r="F273" s="10">
        <v>1173040.6780000001</v>
      </c>
      <c r="G273" s="8">
        <v>467.5</v>
      </c>
      <c r="H273" s="8">
        <v>1016</v>
      </c>
      <c r="I273" s="8">
        <v>1483.5</v>
      </c>
      <c r="J273" s="9">
        <v>6.17</v>
      </c>
      <c r="K273" s="9">
        <v>86.61</v>
      </c>
      <c r="L273" s="9">
        <v>16.95</v>
      </c>
      <c r="M273" s="9">
        <v>16.95</v>
      </c>
      <c r="N273">
        <v>86.59</v>
      </c>
      <c r="O273">
        <v>13.41</v>
      </c>
      <c r="P273">
        <v>28.9</v>
      </c>
      <c r="Q273">
        <v>63.5</v>
      </c>
    </row>
    <row r="274" spans="1:17" x14ac:dyDescent="0.2">
      <c r="A274" t="s">
        <v>320</v>
      </c>
      <c r="B274" t="s">
        <v>317</v>
      </c>
      <c r="C274">
        <v>2012</v>
      </c>
      <c r="D274" s="10">
        <v>8795986.568</v>
      </c>
      <c r="E274" s="11">
        <v>7597577.3549999902</v>
      </c>
      <c r="F274" s="10">
        <v>1198409.213</v>
      </c>
      <c r="G274" s="8">
        <v>446</v>
      </c>
      <c r="H274" s="8">
        <v>970</v>
      </c>
      <c r="I274" s="8">
        <v>1416</v>
      </c>
      <c r="J274" s="9">
        <v>5.87</v>
      </c>
      <c r="K274" s="9">
        <v>80.94</v>
      </c>
      <c r="L274" s="9">
        <v>16.100000000000001</v>
      </c>
      <c r="M274" s="9">
        <v>16.100000000000001</v>
      </c>
      <c r="N274">
        <v>86.38</v>
      </c>
      <c r="O274">
        <v>13.62</v>
      </c>
      <c r="P274">
        <v>28.6</v>
      </c>
      <c r="Q274">
        <v>63.6</v>
      </c>
    </row>
    <row r="275" spans="1:17" x14ac:dyDescent="0.2">
      <c r="A275" t="s">
        <v>321</v>
      </c>
      <c r="B275" t="s">
        <v>317</v>
      </c>
      <c r="C275">
        <v>2013</v>
      </c>
      <c r="D275" s="10">
        <v>8832286.2090000007</v>
      </c>
      <c r="E275" s="10">
        <v>7610468.3039999995</v>
      </c>
      <c r="F275" s="10">
        <v>1221817.905</v>
      </c>
      <c r="G275" s="8">
        <v>472.5</v>
      </c>
      <c r="H275" s="8">
        <v>1164</v>
      </c>
      <c r="I275" s="8">
        <v>1636.5</v>
      </c>
      <c r="J275" s="9">
        <v>6.21</v>
      </c>
      <c r="K275" s="9">
        <v>95.27</v>
      </c>
      <c r="L275" s="9">
        <v>18.53</v>
      </c>
      <c r="M275" s="9">
        <v>18.53</v>
      </c>
      <c r="N275">
        <v>86.17</v>
      </c>
      <c r="O275">
        <v>13.83</v>
      </c>
      <c r="P275">
        <v>26.6</v>
      </c>
      <c r="Q275">
        <v>65</v>
      </c>
    </row>
    <row r="276" spans="1:17" x14ac:dyDescent="0.2">
      <c r="A276" t="s">
        <v>322</v>
      </c>
      <c r="B276" t="s">
        <v>317</v>
      </c>
      <c r="C276">
        <v>2014</v>
      </c>
      <c r="D276" s="10">
        <v>8878148.4509999994</v>
      </c>
      <c r="E276" s="10">
        <v>7630191.6140000001</v>
      </c>
      <c r="F276" s="11">
        <v>1247956.83699999</v>
      </c>
      <c r="G276" s="8">
        <v>457</v>
      </c>
      <c r="H276" s="8">
        <v>1039.5</v>
      </c>
      <c r="I276" s="8">
        <v>1496.5</v>
      </c>
      <c r="J276" s="9">
        <v>5.99</v>
      </c>
      <c r="K276" s="9">
        <v>83.3</v>
      </c>
      <c r="L276" s="9">
        <v>16.86</v>
      </c>
      <c r="M276" s="9">
        <v>16.86</v>
      </c>
      <c r="N276">
        <v>85.94</v>
      </c>
      <c r="O276">
        <v>14.06</v>
      </c>
      <c r="P276">
        <v>28.7</v>
      </c>
      <c r="Q276">
        <v>64.7</v>
      </c>
    </row>
    <row r="277" spans="1:17" x14ac:dyDescent="0.2">
      <c r="A277" t="s">
        <v>323</v>
      </c>
      <c r="B277" t="s">
        <v>317</v>
      </c>
      <c r="C277">
        <v>2015</v>
      </c>
      <c r="D277" s="10">
        <v>8903941.7650000006</v>
      </c>
      <c r="E277" s="11">
        <v>7624172.5719999997</v>
      </c>
      <c r="F277" s="10">
        <v>1279769.193</v>
      </c>
      <c r="G277" s="8">
        <v>467</v>
      </c>
      <c r="H277" s="8">
        <v>1234</v>
      </c>
      <c r="I277" s="8">
        <v>1701</v>
      </c>
      <c r="J277" s="9">
        <v>6.13</v>
      </c>
      <c r="K277" s="9">
        <v>96.42</v>
      </c>
      <c r="L277" s="9">
        <v>19.100000000000001</v>
      </c>
      <c r="M277" s="9">
        <v>19.100000000000001</v>
      </c>
      <c r="N277">
        <v>85.63</v>
      </c>
      <c r="O277">
        <v>14.37</v>
      </c>
      <c r="P277">
        <v>27.3</v>
      </c>
      <c r="Q277">
        <v>63.6</v>
      </c>
    </row>
    <row r="278" spans="1:17" x14ac:dyDescent="0.2">
      <c r="A278" t="s">
        <v>324</v>
      </c>
      <c r="B278" t="s">
        <v>317</v>
      </c>
      <c r="C278">
        <v>2016</v>
      </c>
      <c r="D278" s="10">
        <v>8852008.1300000008</v>
      </c>
      <c r="E278" s="10">
        <v>7550311.6540000001</v>
      </c>
      <c r="F278" s="10">
        <v>1301696.476</v>
      </c>
      <c r="G278" s="8">
        <v>472.5</v>
      </c>
      <c r="H278" s="8">
        <v>1030</v>
      </c>
      <c r="I278" s="8">
        <v>1502.5</v>
      </c>
      <c r="J278" s="9">
        <v>6.26</v>
      </c>
      <c r="K278" s="9">
        <v>79.13</v>
      </c>
      <c r="L278" s="9">
        <v>16.97</v>
      </c>
      <c r="M278" s="9">
        <v>16.97</v>
      </c>
      <c r="N278">
        <v>85.29</v>
      </c>
      <c r="O278">
        <v>14.71</v>
      </c>
      <c r="P278">
        <v>29.6</v>
      </c>
      <c r="Q278">
        <v>65.5</v>
      </c>
    </row>
    <row r="279" spans="1:17" x14ac:dyDescent="0.2">
      <c r="A279" t="s">
        <v>325</v>
      </c>
      <c r="B279" t="s">
        <v>317</v>
      </c>
      <c r="C279">
        <v>2017</v>
      </c>
      <c r="D279" s="10">
        <v>9115905</v>
      </c>
      <c r="E279" s="10">
        <v>7747113</v>
      </c>
      <c r="F279" s="10">
        <v>1368792</v>
      </c>
      <c r="G279" s="8">
        <v>474</v>
      </c>
      <c r="H279" s="8">
        <v>1137.5</v>
      </c>
      <c r="I279" s="8">
        <v>1611.5</v>
      </c>
      <c r="J279" s="9">
        <v>6.12</v>
      </c>
      <c r="K279" s="9">
        <v>83.1</v>
      </c>
      <c r="L279" s="9">
        <v>17.68</v>
      </c>
      <c r="M279" s="9">
        <v>17.68</v>
      </c>
      <c r="N279">
        <v>84.98</v>
      </c>
      <c r="O279">
        <v>15.02</v>
      </c>
      <c r="P279">
        <v>27.8</v>
      </c>
    </row>
    <row r="280" spans="1:17" x14ac:dyDescent="0.2">
      <c r="A280" t="s">
        <v>326</v>
      </c>
      <c r="B280" t="s">
        <v>327</v>
      </c>
      <c r="C280">
        <v>2009</v>
      </c>
      <c r="D280" s="10">
        <v>1965922.726</v>
      </c>
      <c r="E280" s="10">
        <v>1717252.7139999999</v>
      </c>
      <c r="F280" s="10">
        <v>248670.01199999999</v>
      </c>
      <c r="G280" s="8">
        <v>432</v>
      </c>
      <c r="H280" s="8">
        <v>238</v>
      </c>
      <c r="I280" s="8">
        <v>670</v>
      </c>
      <c r="J280" s="9">
        <v>25.16</v>
      </c>
      <c r="K280" s="9">
        <v>95.71</v>
      </c>
      <c r="L280" s="9">
        <v>34.08</v>
      </c>
      <c r="M280" s="9">
        <v>34.08</v>
      </c>
      <c r="N280">
        <v>87.35</v>
      </c>
      <c r="O280">
        <v>12.65</v>
      </c>
      <c r="Q280">
        <v>76.5</v>
      </c>
    </row>
    <row r="281" spans="1:17" x14ac:dyDescent="0.2">
      <c r="A281" t="s">
        <v>328</v>
      </c>
      <c r="B281" t="s">
        <v>327</v>
      </c>
      <c r="C281">
        <v>2010</v>
      </c>
      <c r="D281" s="10">
        <v>2106769.6140000001</v>
      </c>
      <c r="E281" s="10">
        <v>1838941.7609999999</v>
      </c>
      <c r="F281" s="10">
        <v>267827.853</v>
      </c>
      <c r="G281" s="8">
        <v>432</v>
      </c>
      <c r="H281" s="8">
        <v>249</v>
      </c>
      <c r="I281" s="8">
        <v>681</v>
      </c>
      <c r="J281" s="9">
        <v>23.49</v>
      </c>
      <c r="K281" s="9">
        <v>92.97</v>
      </c>
      <c r="L281" s="9">
        <v>32.32</v>
      </c>
      <c r="M281" s="9">
        <v>32.32</v>
      </c>
      <c r="N281">
        <v>87.29</v>
      </c>
      <c r="O281">
        <v>12.71</v>
      </c>
      <c r="P281">
        <v>34.799999999999997</v>
      </c>
      <c r="Q281">
        <v>63.9</v>
      </c>
    </row>
    <row r="282" spans="1:17" x14ac:dyDescent="0.2">
      <c r="A282" t="s">
        <v>329</v>
      </c>
      <c r="B282" t="s">
        <v>327</v>
      </c>
      <c r="C282">
        <v>2011</v>
      </c>
      <c r="D282" s="10">
        <v>2048984.5379999999</v>
      </c>
      <c r="E282" s="10">
        <v>1782466.395</v>
      </c>
      <c r="F282" s="10">
        <v>266518.14299999998</v>
      </c>
      <c r="G282" s="8">
        <v>432</v>
      </c>
      <c r="H282" s="8">
        <v>274.5</v>
      </c>
      <c r="I282" s="8">
        <v>706.5</v>
      </c>
      <c r="J282" s="9">
        <v>24.24</v>
      </c>
      <c r="K282" s="9">
        <v>102.99</v>
      </c>
      <c r="L282" s="9">
        <v>34.479999999999997</v>
      </c>
      <c r="M282" s="9">
        <v>34.479999999999997</v>
      </c>
      <c r="N282">
        <v>86.99</v>
      </c>
      <c r="O282">
        <v>13.01</v>
      </c>
      <c r="P282">
        <v>30.4</v>
      </c>
      <c r="Q282">
        <v>62</v>
      </c>
    </row>
    <row r="283" spans="1:17" x14ac:dyDescent="0.2">
      <c r="A283" t="s">
        <v>330</v>
      </c>
      <c r="B283" t="s">
        <v>327</v>
      </c>
      <c r="C283">
        <v>2012</v>
      </c>
      <c r="D283" s="10">
        <v>2017368.433</v>
      </c>
      <c r="E283" s="11">
        <v>1750878.38499999</v>
      </c>
      <c r="F283" s="10">
        <v>266490.04800000001</v>
      </c>
      <c r="G283" s="8">
        <v>432</v>
      </c>
      <c r="H283" s="8">
        <v>229</v>
      </c>
      <c r="I283" s="8">
        <v>661</v>
      </c>
      <c r="J283" s="9">
        <v>24.67</v>
      </c>
      <c r="K283" s="9">
        <v>85.93</v>
      </c>
      <c r="L283" s="9">
        <v>32.770000000000003</v>
      </c>
      <c r="M283" s="9">
        <v>32.770000000000003</v>
      </c>
      <c r="N283">
        <v>86.79</v>
      </c>
      <c r="O283">
        <v>13.21</v>
      </c>
      <c r="P283">
        <v>32.299999999999997</v>
      </c>
      <c r="Q283">
        <v>61.5</v>
      </c>
    </row>
    <row r="284" spans="1:17" x14ac:dyDescent="0.2">
      <c r="A284" t="s">
        <v>331</v>
      </c>
      <c r="B284" t="s">
        <v>327</v>
      </c>
      <c r="C284">
        <v>2013</v>
      </c>
      <c r="D284" s="10">
        <v>2067707.47</v>
      </c>
      <c r="E284" s="10">
        <v>1784445.1569999999</v>
      </c>
      <c r="F284" s="10">
        <v>283262.31300000002</v>
      </c>
      <c r="G284" s="8">
        <v>432</v>
      </c>
      <c r="H284" s="8">
        <v>274</v>
      </c>
      <c r="I284" s="8">
        <v>706</v>
      </c>
      <c r="J284" s="9">
        <v>24.21</v>
      </c>
      <c r="K284" s="9">
        <v>96.73</v>
      </c>
      <c r="L284" s="9">
        <v>34.14</v>
      </c>
      <c r="M284" s="9">
        <v>34.14</v>
      </c>
      <c r="N284">
        <v>86.3</v>
      </c>
      <c r="O284">
        <v>13.7</v>
      </c>
      <c r="P284">
        <v>28.9</v>
      </c>
      <c r="Q284">
        <v>58.4</v>
      </c>
    </row>
    <row r="285" spans="1:17" x14ac:dyDescent="0.2">
      <c r="A285" t="s">
        <v>332</v>
      </c>
      <c r="B285" t="s">
        <v>327</v>
      </c>
      <c r="C285">
        <v>2014</v>
      </c>
      <c r="D285" s="10">
        <v>2010488.274</v>
      </c>
      <c r="E285" s="10">
        <v>1726783.8770000001</v>
      </c>
      <c r="F285" s="10">
        <v>283704.397</v>
      </c>
      <c r="G285" s="8">
        <v>432</v>
      </c>
      <c r="H285" s="8">
        <v>246</v>
      </c>
      <c r="I285" s="8">
        <v>678</v>
      </c>
      <c r="J285" s="9">
        <v>25.02</v>
      </c>
      <c r="K285" s="9">
        <v>86.71</v>
      </c>
      <c r="L285" s="9">
        <v>33.72</v>
      </c>
      <c r="M285" s="9">
        <v>33.72</v>
      </c>
      <c r="N285">
        <v>85.89</v>
      </c>
      <c r="O285">
        <v>14.11</v>
      </c>
      <c r="P285">
        <v>31.9</v>
      </c>
      <c r="Q285">
        <v>66</v>
      </c>
    </row>
    <row r="286" spans="1:17" x14ac:dyDescent="0.2">
      <c r="A286" t="s">
        <v>333</v>
      </c>
      <c r="B286" t="s">
        <v>327</v>
      </c>
      <c r="C286">
        <v>2015</v>
      </c>
      <c r="D286" s="10">
        <v>1940324.2239999999</v>
      </c>
      <c r="E286" s="11">
        <v>1659061.96899999</v>
      </c>
      <c r="F286" s="10">
        <v>281262.255</v>
      </c>
      <c r="G286" s="8">
        <v>432</v>
      </c>
      <c r="H286" s="8">
        <v>241</v>
      </c>
      <c r="I286" s="8">
        <v>673</v>
      </c>
      <c r="J286" s="9">
        <v>26.04</v>
      </c>
      <c r="K286" s="9">
        <v>85.69</v>
      </c>
      <c r="L286" s="9">
        <v>34.68</v>
      </c>
      <c r="M286" s="9">
        <v>34.68</v>
      </c>
      <c r="N286">
        <v>85.5</v>
      </c>
      <c r="O286">
        <v>14.5</v>
      </c>
      <c r="P286">
        <v>28.6</v>
      </c>
      <c r="Q286">
        <v>58.1</v>
      </c>
    </row>
    <row r="287" spans="1:17" x14ac:dyDescent="0.2">
      <c r="A287" t="s">
        <v>334</v>
      </c>
      <c r="B287" t="s">
        <v>327</v>
      </c>
      <c r="C287">
        <v>2016</v>
      </c>
      <c r="D287" s="10">
        <v>2063383.5460000001</v>
      </c>
      <c r="E287" s="10">
        <v>1752138.5789999999</v>
      </c>
      <c r="F287" s="10">
        <v>311244.967</v>
      </c>
      <c r="G287" s="8">
        <v>432</v>
      </c>
      <c r="H287" s="8">
        <v>240.5</v>
      </c>
      <c r="I287" s="8">
        <v>672.5</v>
      </c>
      <c r="J287" s="9">
        <v>24.66</v>
      </c>
      <c r="K287" s="9">
        <v>77.27</v>
      </c>
      <c r="L287" s="9">
        <v>32.590000000000003</v>
      </c>
      <c r="M287" s="9">
        <v>32.590000000000003</v>
      </c>
      <c r="N287">
        <v>84.92</v>
      </c>
      <c r="O287">
        <v>15.08</v>
      </c>
      <c r="P287">
        <v>30.2</v>
      </c>
      <c r="Q287">
        <v>65</v>
      </c>
    </row>
    <row r="288" spans="1:17" x14ac:dyDescent="0.2">
      <c r="A288" t="s">
        <v>335</v>
      </c>
      <c r="B288" t="s">
        <v>327</v>
      </c>
      <c r="C288">
        <v>2017</v>
      </c>
      <c r="D288" s="10">
        <v>2065568</v>
      </c>
      <c r="E288" s="10">
        <v>1746752</v>
      </c>
      <c r="F288" s="10">
        <v>318816</v>
      </c>
      <c r="G288" s="8">
        <v>432</v>
      </c>
      <c r="H288" s="8">
        <v>246</v>
      </c>
      <c r="I288" s="8">
        <v>678</v>
      </c>
      <c r="J288" s="9">
        <v>24.73</v>
      </c>
      <c r="K288" s="9">
        <v>77.16</v>
      </c>
      <c r="L288" s="9">
        <v>32.82</v>
      </c>
      <c r="M288" s="9">
        <v>32.82</v>
      </c>
      <c r="N288">
        <v>84.57</v>
      </c>
      <c r="O288">
        <v>15.43</v>
      </c>
      <c r="P288">
        <v>25.7</v>
      </c>
    </row>
    <row r="289" spans="1:17" x14ac:dyDescent="0.2">
      <c r="A289" t="s">
        <v>336</v>
      </c>
      <c r="B289" t="s">
        <v>337</v>
      </c>
      <c r="C289">
        <v>2009</v>
      </c>
      <c r="D289" s="10">
        <v>19425365.068</v>
      </c>
      <c r="E289" s="10">
        <v>16863053.967999998</v>
      </c>
      <c r="F289" s="10">
        <v>2562311.1</v>
      </c>
      <c r="G289" s="8">
        <v>826</v>
      </c>
      <c r="H289" s="8">
        <v>3878</v>
      </c>
      <c r="I289" s="8">
        <v>4704</v>
      </c>
      <c r="J289" s="9">
        <v>4.9000000000000004</v>
      </c>
      <c r="K289" s="9">
        <v>151.35</v>
      </c>
      <c r="L289" s="9">
        <v>24.22</v>
      </c>
      <c r="M289" s="9">
        <v>24.22</v>
      </c>
      <c r="N289">
        <v>86.81</v>
      </c>
      <c r="O289">
        <v>13.19</v>
      </c>
      <c r="Q289">
        <v>73.900000000000006</v>
      </c>
    </row>
    <row r="290" spans="1:17" x14ac:dyDescent="0.2">
      <c r="A290" t="s">
        <v>338</v>
      </c>
      <c r="B290" t="s">
        <v>337</v>
      </c>
      <c r="C290">
        <v>2010</v>
      </c>
      <c r="D290" s="10">
        <v>19240855.127999999</v>
      </c>
      <c r="E290" s="10">
        <v>16684315.416999999</v>
      </c>
      <c r="F290" s="10">
        <v>2556539.7110000001</v>
      </c>
      <c r="G290" s="8">
        <v>790</v>
      </c>
      <c r="H290" s="8">
        <v>4065</v>
      </c>
      <c r="I290" s="8">
        <v>4855</v>
      </c>
      <c r="J290" s="9">
        <v>4.7300000000000004</v>
      </c>
      <c r="K290" s="9">
        <v>159</v>
      </c>
      <c r="L290" s="9">
        <v>25.23</v>
      </c>
      <c r="M290" s="9">
        <v>25.23</v>
      </c>
      <c r="N290">
        <v>86.71</v>
      </c>
      <c r="O290">
        <v>13.29</v>
      </c>
      <c r="P290">
        <v>33.700000000000003</v>
      </c>
      <c r="Q290">
        <v>67.599999999999994</v>
      </c>
    </row>
    <row r="291" spans="1:17" x14ac:dyDescent="0.2">
      <c r="A291" t="s">
        <v>339</v>
      </c>
      <c r="B291" t="s">
        <v>337</v>
      </c>
      <c r="C291">
        <v>2011</v>
      </c>
      <c r="D291" s="10">
        <v>19351131.995000001</v>
      </c>
      <c r="E291" s="10">
        <v>16747188.793</v>
      </c>
      <c r="F291" s="10">
        <v>2603943.202</v>
      </c>
      <c r="G291" s="8">
        <v>819.5</v>
      </c>
      <c r="H291" s="8">
        <v>4296</v>
      </c>
      <c r="I291" s="8">
        <v>5115.5</v>
      </c>
      <c r="J291" s="9">
        <v>4.8899999999999997</v>
      </c>
      <c r="K291" s="9">
        <v>164.98</v>
      </c>
      <c r="L291" s="9">
        <v>26.44</v>
      </c>
      <c r="M291" s="9">
        <v>26.44</v>
      </c>
      <c r="N291">
        <v>86.54</v>
      </c>
      <c r="O291">
        <v>13.46</v>
      </c>
      <c r="P291">
        <v>33.6</v>
      </c>
      <c r="Q291">
        <v>62.5</v>
      </c>
    </row>
    <row r="292" spans="1:17" x14ac:dyDescent="0.2">
      <c r="A292" t="s">
        <v>340</v>
      </c>
      <c r="B292" t="s">
        <v>337</v>
      </c>
      <c r="C292">
        <v>2012</v>
      </c>
      <c r="D292" s="10">
        <v>19303279.791000001</v>
      </c>
      <c r="E292" s="10">
        <v>16680816.460999999</v>
      </c>
      <c r="F292" s="10">
        <v>2622463.33</v>
      </c>
      <c r="G292" s="8">
        <v>760.5</v>
      </c>
      <c r="H292" s="8">
        <v>3869</v>
      </c>
      <c r="I292" s="8">
        <v>4629.5</v>
      </c>
      <c r="J292" s="9">
        <v>4.5599999999999996</v>
      </c>
      <c r="K292" s="9">
        <v>147.53</v>
      </c>
      <c r="L292" s="9">
        <v>23.98</v>
      </c>
      <c r="M292" s="9">
        <v>23.98</v>
      </c>
      <c r="N292">
        <v>86.41</v>
      </c>
      <c r="O292">
        <v>13.59</v>
      </c>
      <c r="P292">
        <v>28.4</v>
      </c>
      <c r="Q292">
        <v>68.3</v>
      </c>
    </row>
    <row r="293" spans="1:17" x14ac:dyDescent="0.2">
      <c r="A293" t="s">
        <v>341</v>
      </c>
      <c r="B293" t="s">
        <v>337</v>
      </c>
      <c r="C293">
        <v>2013</v>
      </c>
      <c r="D293" s="10">
        <v>19494389.401000001</v>
      </c>
      <c r="E293" s="10">
        <v>16794428.192000002</v>
      </c>
      <c r="F293" s="11">
        <v>2699961.2089999998</v>
      </c>
      <c r="G293" s="8">
        <v>822.5</v>
      </c>
      <c r="H293" s="8">
        <v>4282</v>
      </c>
      <c r="I293" s="8">
        <v>5104.5</v>
      </c>
      <c r="J293" s="9">
        <v>4.9000000000000004</v>
      </c>
      <c r="K293" s="9">
        <v>158.59</v>
      </c>
      <c r="L293" s="9">
        <v>26.18</v>
      </c>
      <c r="M293" s="9">
        <v>26.18</v>
      </c>
      <c r="N293">
        <v>86.15</v>
      </c>
      <c r="O293">
        <v>13.85</v>
      </c>
      <c r="P293">
        <v>31.5</v>
      </c>
      <c r="Q293">
        <v>65.5</v>
      </c>
    </row>
    <row r="294" spans="1:17" x14ac:dyDescent="0.2">
      <c r="A294" t="s">
        <v>342</v>
      </c>
      <c r="B294" t="s">
        <v>337</v>
      </c>
      <c r="C294">
        <v>2014</v>
      </c>
      <c r="D294" s="10">
        <v>19636152.502</v>
      </c>
      <c r="E294" s="10">
        <v>16872403.691</v>
      </c>
      <c r="F294" s="10">
        <v>2763748.8110000002</v>
      </c>
      <c r="G294" s="8">
        <v>895</v>
      </c>
      <c r="H294" s="8">
        <v>4030</v>
      </c>
      <c r="I294" s="8">
        <v>4925</v>
      </c>
      <c r="J294" s="9">
        <v>5.3</v>
      </c>
      <c r="K294" s="9">
        <v>145.82</v>
      </c>
      <c r="L294" s="9">
        <v>25.08</v>
      </c>
      <c r="M294" s="9">
        <v>25.08</v>
      </c>
      <c r="N294">
        <v>85.93</v>
      </c>
      <c r="O294">
        <v>14.07</v>
      </c>
      <c r="P294">
        <v>31.1</v>
      </c>
      <c r="Q294">
        <v>66.5</v>
      </c>
    </row>
    <row r="295" spans="1:17" x14ac:dyDescent="0.2">
      <c r="A295" t="s">
        <v>343</v>
      </c>
      <c r="B295" t="s">
        <v>337</v>
      </c>
      <c r="C295">
        <v>2015</v>
      </c>
      <c r="D295" s="10">
        <v>19602267.160999998</v>
      </c>
      <c r="E295" s="10">
        <v>16799901.763999999</v>
      </c>
      <c r="F295" s="10">
        <v>2802365.3969999999</v>
      </c>
      <c r="G295" s="8">
        <v>792.5</v>
      </c>
      <c r="H295" s="8">
        <v>4298</v>
      </c>
      <c r="I295" s="8">
        <v>5090.5</v>
      </c>
      <c r="J295" s="9">
        <v>4.72</v>
      </c>
      <c r="K295" s="9">
        <v>153.37</v>
      </c>
      <c r="L295" s="9">
        <v>25.97</v>
      </c>
      <c r="M295" s="9">
        <v>25.97</v>
      </c>
      <c r="N295">
        <v>85.7</v>
      </c>
      <c r="O295">
        <v>14.3</v>
      </c>
      <c r="P295">
        <v>30.1</v>
      </c>
      <c r="Q295">
        <v>66</v>
      </c>
    </row>
    <row r="296" spans="1:17" x14ac:dyDescent="0.2">
      <c r="A296" t="s">
        <v>344</v>
      </c>
      <c r="B296" t="s">
        <v>337</v>
      </c>
      <c r="C296">
        <v>2016</v>
      </c>
      <c r="D296" s="10">
        <v>19780834.863000002</v>
      </c>
      <c r="E296" s="11">
        <v>16873067.364999998</v>
      </c>
      <c r="F296" s="10">
        <v>2907767.4980000001</v>
      </c>
      <c r="G296" s="8">
        <v>820</v>
      </c>
      <c r="H296" s="8">
        <v>3903</v>
      </c>
      <c r="I296" s="8">
        <v>4723</v>
      </c>
      <c r="J296" s="9">
        <v>4.8600000000000003</v>
      </c>
      <c r="K296" s="9">
        <v>134.22999999999999</v>
      </c>
      <c r="L296" s="9">
        <v>23.88</v>
      </c>
      <c r="M296" s="9">
        <v>23.88</v>
      </c>
      <c r="N296">
        <v>85.3</v>
      </c>
      <c r="O296">
        <v>14.7</v>
      </c>
      <c r="P296">
        <v>29.6</v>
      </c>
      <c r="Q296">
        <v>67.099999999999994</v>
      </c>
    </row>
    <row r="297" spans="1:17" x14ac:dyDescent="0.2">
      <c r="A297" t="s">
        <v>345</v>
      </c>
      <c r="B297" t="s">
        <v>337</v>
      </c>
      <c r="C297">
        <v>2017</v>
      </c>
      <c r="D297" s="10">
        <v>19899801</v>
      </c>
      <c r="E297" s="10">
        <v>16888307</v>
      </c>
      <c r="F297" s="10">
        <v>3011494</v>
      </c>
      <c r="G297" s="8">
        <v>779</v>
      </c>
      <c r="H297" s="8">
        <v>3955</v>
      </c>
      <c r="I297" s="8">
        <v>4734</v>
      </c>
      <c r="J297" s="9">
        <v>4.6100000000000003</v>
      </c>
      <c r="K297" s="9">
        <v>131.33000000000001</v>
      </c>
      <c r="L297" s="9">
        <v>23.79</v>
      </c>
      <c r="M297" s="9">
        <v>23.79</v>
      </c>
      <c r="N297">
        <v>84.87</v>
      </c>
      <c r="O297">
        <v>15.13</v>
      </c>
      <c r="P297">
        <v>20.9</v>
      </c>
    </row>
    <row r="298" spans="1:17" x14ac:dyDescent="0.2">
      <c r="A298" t="s">
        <v>346</v>
      </c>
      <c r="B298" t="s">
        <v>347</v>
      </c>
      <c r="C298">
        <v>2009</v>
      </c>
      <c r="D298" s="10">
        <v>8985473.5370000005</v>
      </c>
      <c r="E298" s="10">
        <v>7873474.4479999999</v>
      </c>
      <c r="F298" s="10">
        <v>1111999.0889999999</v>
      </c>
      <c r="G298" s="8">
        <v>522</v>
      </c>
      <c r="H298" s="8">
        <v>1432</v>
      </c>
      <c r="I298" s="8">
        <v>1954</v>
      </c>
      <c r="J298" s="9">
        <v>6.63</v>
      </c>
      <c r="K298" s="9">
        <v>128.78</v>
      </c>
      <c r="L298" s="9">
        <v>21.75</v>
      </c>
      <c r="M298" s="9">
        <v>21.75</v>
      </c>
      <c r="N298">
        <v>87.62</v>
      </c>
      <c r="O298">
        <v>12.38</v>
      </c>
      <c r="Q298">
        <v>74.400000000000006</v>
      </c>
    </row>
    <row r="299" spans="1:17" x14ac:dyDescent="0.2">
      <c r="A299" t="s">
        <v>348</v>
      </c>
      <c r="B299" t="s">
        <v>347</v>
      </c>
      <c r="C299">
        <v>2010</v>
      </c>
      <c r="D299" s="10">
        <v>9260391.0250000004</v>
      </c>
      <c r="E299" s="10">
        <v>8094455.5159999998</v>
      </c>
      <c r="F299" s="10">
        <v>1165935.5090000001</v>
      </c>
      <c r="G299" s="8">
        <v>518.5</v>
      </c>
      <c r="H299" s="8">
        <v>1436</v>
      </c>
      <c r="I299" s="8">
        <v>1954.5</v>
      </c>
      <c r="J299" s="9">
        <v>6.41</v>
      </c>
      <c r="K299" s="9">
        <v>123.16</v>
      </c>
      <c r="L299" s="9">
        <v>21.11</v>
      </c>
      <c r="M299" s="9">
        <v>21.11</v>
      </c>
      <c r="N299">
        <v>87.41</v>
      </c>
      <c r="O299">
        <v>12.59</v>
      </c>
      <c r="P299">
        <v>32.6</v>
      </c>
      <c r="Q299">
        <v>71.3</v>
      </c>
    </row>
    <row r="300" spans="1:17" x14ac:dyDescent="0.2">
      <c r="A300" t="s">
        <v>349</v>
      </c>
      <c r="B300" t="s">
        <v>347</v>
      </c>
      <c r="C300">
        <v>2011</v>
      </c>
      <c r="D300" s="10">
        <v>9323725.3010000009</v>
      </c>
      <c r="E300" s="10">
        <v>8137646.0199999996</v>
      </c>
      <c r="F300" s="10">
        <v>1186079.281</v>
      </c>
      <c r="G300" s="8">
        <v>493</v>
      </c>
      <c r="H300" s="8">
        <v>1344</v>
      </c>
      <c r="I300" s="8">
        <v>1837</v>
      </c>
      <c r="J300" s="9">
        <v>6.06</v>
      </c>
      <c r="K300" s="9">
        <v>113.31</v>
      </c>
      <c r="L300" s="9">
        <v>19.7</v>
      </c>
      <c r="M300" s="9">
        <v>19.7</v>
      </c>
      <c r="N300">
        <v>87.28</v>
      </c>
      <c r="O300">
        <v>12.72</v>
      </c>
      <c r="P300">
        <v>34.700000000000003</v>
      </c>
      <c r="Q300">
        <v>71.599999999999994</v>
      </c>
    </row>
    <row r="301" spans="1:17" x14ac:dyDescent="0.2">
      <c r="A301" t="s">
        <v>350</v>
      </c>
      <c r="B301" t="s">
        <v>347</v>
      </c>
      <c r="C301">
        <v>2012</v>
      </c>
      <c r="D301" s="10">
        <v>9472167.3839999996</v>
      </c>
      <c r="E301" s="10">
        <v>8243098.4749999996</v>
      </c>
      <c r="F301" s="10">
        <v>1229068.909</v>
      </c>
      <c r="G301" s="8">
        <v>563.5</v>
      </c>
      <c r="H301" s="8">
        <v>1597</v>
      </c>
      <c r="I301" s="8">
        <v>2160.5</v>
      </c>
      <c r="J301" s="9">
        <v>6.84</v>
      </c>
      <c r="K301" s="9">
        <v>129.94</v>
      </c>
      <c r="L301" s="9">
        <v>22.81</v>
      </c>
      <c r="M301" s="9">
        <v>22.81</v>
      </c>
      <c r="N301">
        <v>87.02</v>
      </c>
      <c r="O301">
        <v>12.98</v>
      </c>
      <c r="P301">
        <v>35</v>
      </c>
      <c r="Q301">
        <v>72.8</v>
      </c>
    </row>
    <row r="302" spans="1:17" x14ac:dyDescent="0.2">
      <c r="A302" t="s">
        <v>351</v>
      </c>
      <c r="B302" t="s">
        <v>347</v>
      </c>
      <c r="C302">
        <v>2013</v>
      </c>
      <c r="D302" s="10">
        <v>9874151.3929999992</v>
      </c>
      <c r="E302" s="11">
        <v>8552927.9849999994</v>
      </c>
      <c r="F302" s="10">
        <v>1321223.4080000001</v>
      </c>
      <c r="G302" s="8">
        <v>576</v>
      </c>
      <c r="H302" s="8">
        <v>1586</v>
      </c>
      <c r="I302" s="8">
        <v>2162</v>
      </c>
      <c r="J302" s="9">
        <v>6.73</v>
      </c>
      <c r="K302" s="9">
        <v>120.04</v>
      </c>
      <c r="L302" s="9">
        <v>21.9</v>
      </c>
      <c r="M302" s="9">
        <v>21.9</v>
      </c>
      <c r="N302">
        <v>86.62</v>
      </c>
      <c r="O302">
        <v>13.38</v>
      </c>
      <c r="P302">
        <v>33</v>
      </c>
      <c r="Q302">
        <v>72.5</v>
      </c>
    </row>
    <row r="303" spans="1:17" x14ac:dyDescent="0.2">
      <c r="A303" t="s">
        <v>352</v>
      </c>
      <c r="B303" t="s">
        <v>347</v>
      </c>
      <c r="C303">
        <v>2014</v>
      </c>
      <c r="D303" s="10">
        <v>10138119.227</v>
      </c>
      <c r="E303" s="10">
        <v>8732436.8969999999</v>
      </c>
      <c r="F303" s="10">
        <v>1405682.33</v>
      </c>
      <c r="G303" s="8">
        <v>594</v>
      </c>
      <c r="H303" s="8">
        <v>1528</v>
      </c>
      <c r="I303" s="8">
        <v>2122</v>
      </c>
      <c r="J303" s="9">
        <v>6.8</v>
      </c>
      <c r="K303" s="9">
        <v>108.7</v>
      </c>
      <c r="L303" s="9">
        <v>20.93</v>
      </c>
      <c r="M303" s="9">
        <v>20.93</v>
      </c>
      <c r="N303">
        <v>86.13</v>
      </c>
      <c r="O303">
        <v>13.87</v>
      </c>
      <c r="P303">
        <v>34.1</v>
      </c>
      <c r="Q303">
        <v>76.8</v>
      </c>
    </row>
    <row r="304" spans="1:17" x14ac:dyDescent="0.2">
      <c r="A304" t="s">
        <v>353</v>
      </c>
      <c r="B304" t="s">
        <v>347</v>
      </c>
      <c r="C304">
        <v>2015</v>
      </c>
      <c r="D304" s="10">
        <v>9600400.3920000009</v>
      </c>
      <c r="E304" s="10">
        <v>8250109.3650000002</v>
      </c>
      <c r="F304" s="10">
        <v>1350291.027</v>
      </c>
      <c r="G304" s="8">
        <v>590.5</v>
      </c>
      <c r="H304" s="8">
        <v>1778</v>
      </c>
      <c r="I304" s="8">
        <v>2368.5</v>
      </c>
      <c r="J304" s="9">
        <v>7.16</v>
      </c>
      <c r="K304" s="9">
        <v>131.68</v>
      </c>
      <c r="L304" s="9">
        <v>24.67</v>
      </c>
      <c r="M304" s="9">
        <v>24.67</v>
      </c>
      <c r="N304">
        <v>85.94</v>
      </c>
      <c r="O304">
        <v>14.06</v>
      </c>
      <c r="P304">
        <v>31.4</v>
      </c>
      <c r="Q304">
        <v>68.599999999999994</v>
      </c>
    </row>
    <row r="305" spans="1:17" x14ac:dyDescent="0.2">
      <c r="A305" t="s">
        <v>354</v>
      </c>
      <c r="B305" t="s">
        <v>347</v>
      </c>
      <c r="C305">
        <v>2016</v>
      </c>
      <c r="D305" s="10">
        <v>9790171.5529999994</v>
      </c>
      <c r="E305" s="10">
        <v>8379468.7450000001</v>
      </c>
      <c r="F305" s="10">
        <v>1410702.808</v>
      </c>
      <c r="G305" s="8">
        <v>597.5</v>
      </c>
      <c r="H305" s="8">
        <v>1550</v>
      </c>
      <c r="I305" s="8">
        <v>2147.5</v>
      </c>
      <c r="J305" s="9">
        <v>7.13</v>
      </c>
      <c r="K305" s="9">
        <v>109.87</v>
      </c>
      <c r="L305" s="9">
        <v>21.94</v>
      </c>
      <c r="M305" s="9">
        <v>21.94</v>
      </c>
      <c r="N305">
        <v>85.59</v>
      </c>
      <c r="O305">
        <v>14.41</v>
      </c>
      <c r="P305">
        <v>32.1</v>
      </c>
      <c r="Q305">
        <v>72.099999999999994</v>
      </c>
    </row>
    <row r="306" spans="1:17" x14ac:dyDescent="0.2">
      <c r="A306" t="s">
        <v>355</v>
      </c>
      <c r="B306" t="s">
        <v>347</v>
      </c>
      <c r="C306">
        <v>2017</v>
      </c>
      <c r="D306" s="10">
        <v>10250849</v>
      </c>
      <c r="E306" s="10">
        <v>8705990</v>
      </c>
      <c r="F306" s="10">
        <v>1544859</v>
      </c>
      <c r="G306" s="8">
        <v>616.5</v>
      </c>
      <c r="H306" s="8">
        <v>1690</v>
      </c>
      <c r="I306" s="8">
        <v>2306.5</v>
      </c>
      <c r="J306" s="9">
        <v>7.08</v>
      </c>
      <c r="K306" s="9">
        <v>109.4</v>
      </c>
      <c r="L306" s="9">
        <v>22.5</v>
      </c>
      <c r="M306" s="9">
        <v>22.5</v>
      </c>
      <c r="N306">
        <v>84.93</v>
      </c>
      <c r="O306">
        <v>15.07</v>
      </c>
      <c r="P306">
        <v>27.7</v>
      </c>
    </row>
    <row r="307" spans="1:17" x14ac:dyDescent="0.2">
      <c r="A307" t="s">
        <v>356</v>
      </c>
      <c r="B307" t="s">
        <v>357</v>
      </c>
      <c r="C307">
        <v>2009</v>
      </c>
      <c r="D307" s="10">
        <v>623970.81499999994</v>
      </c>
      <c r="E307" s="10">
        <v>533408.48699999996</v>
      </c>
      <c r="F307" s="10">
        <v>90562.327999999994</v>
      </c>
      <c r="G307" s="8">
        <v>432</v>
      </c>
      <c r="H307" s="8">
        <v>174</v>
      </c>
      <c r="I307" s="8">
        <v>606</v>
      </c>
      <c r="J307" s="9">
        <v>80.989999999999995</v>
      </c>
      <c r="K307" s="9">
        <v>192.13</v>
      </c>
      <c r="L307" s="9">
        <v>97.12</v>
      </c>
      <c r="M307" s="9">
        <v>97.12</v>
      </c>
      <c r="N307">
        <v>85.49</v>
      </c>
      <c r="O307">
        <v>14.51</v>
      </c>
      <c r="Q307">
        <v>68.900000000000006</v>
      </c>
    </row>
    <row r="308" spans="1:17" x14ac:dyDescent="0.2">
      <c r="A308" t="s">
        <v>358</v>
      </c>
      <c r="B308" t="s">
        <v>357</v>
      </c>
      <c r="C308">
        <v>2010</v>
      </c>
      <c r="D308" s="10">
        <v>570560.821</v>
      </c>
      <c r="E308" s="10">
        <v>485646.01299999998</v>
      </c>
      <c r="F308" s="10">
        <v>84914.808000000005</v>
      </c>
      <c r="G308" s="8">
        <v>432</v>
      </c>
      <c r="H308" s="8">
        <v>167.5</v>
      </c>
      <c r="I308" s="8">
        <v>599.5</v>
      </c>
      <c r="J308" s="9">
        <v>88.95</v>
      </c>
      <c r="K308" s="9">
        <v>197.26</v>
      </c>
      <c r="L308" s="9">
        <v>105.07</v>
      </c>
      <c r="M308" s="9">
        <v>105.07</v>
      </c>
      <c r="N308">
        <v>85.12</v>
      </c>
      <c r="O308">
        <v>14.88</v>
      </c>
      <c r="P308">
        <v>37.299999999999997</v>
      </c>
      <c r="Q308">
        <v>63.3</v>
      </c>
    </row>
    <row r="309" spans="1:17" x14ac:dyDescent="0.2">
      <c r="A309" t="s">
        <v>359</v>
      </c>
      <c r="B309" t="s">
        <v>357</v>
      </c>
      <c r="C309">
        <v>2011</v>
      </c>
      <c r="D309" s="11">
        <v>819617.90899999999</v>
      </c>
      <c r="E309" s="10">
        <v>694451.80599999998</v>
      </c>
      <c r="F309" s="10">
        <v>125166.103</v>
      </c>
      <c r="G309" s="8">
        <v>432</v>
      </c>
      <c r="H309" s="8">
        <v>162</v>
      </c>
      <c r="I309" s="8">
        <v>594</v>
      </c>
      <c r="J309" s="9">
        <v>62.21</v>
      </c>
      <c r="K309" s="9">
        <v>129.43</v>
      </c>
      <c r="L309" s="9">
        <v>72.47</v>
      </c>
      <c r="M309" s="9">
        <v>72.47</v>
      </c>
      <c r="N309">
        <v>84.73</v>
      </c>
      <c r="O309">
        <v>15.27</v>
      </c>
      <c r="P309">
        <v>31.3</v>
      </c>
      <c r="Q309">
        <v>65</v>
      </c>
    </row>
    <row r="310" spans="1:17" x14ac:dyDescent="0.2">
      <c r="A310" t="s">
        <v>360</v>
      </c>
      <c r="B310" t="s">
        <v>357</v>
      </c>
      <c r="C310">
        <v>2012</v>
      </c>
      <c r="D310" s="10">
        <v>706656.95299999998</v>
      </c>
      <c r="E310" s="10">
        <v>602702.9</v>
      </c>
      <c r="F310" s="10">
        <v>103954.053</v>
      </c>
      <c r="G310" s="8">
        <v>432</v>
      </c>
      <c r="H310" s="8">
        <v>174</v>
      </c>
      <c r="I310" s="8">
        <v>606</v>
      </c>
      <c r="J310" s="9">
        <v>71.680000000000007</v>
      </c>
      <c r="K310" s="9">
        <v>167.38</v>
      </c>
      <c r="L310" s="9">
        <v>85.76</v>
      </c>
      <c r="M310" s="9">
        <v>85.76</v>
      </c>
      <c r="N310">
        <v>85.29</v>
      </c>
      <c r="O310">
        <v>14.71</v>
      </c>
      <c r="P310">
        <v>37.299999999999997</v>
      </c>
      <c r="Q310">
        <v>65.400000000000006</v>
      </c>
    </row>
    <row r="311" spans="1:17" x14ac:dyDescent="0.2">
      <c r="A311" t="s">
        <v>361</v>
      </c>
      <c r="B311" t="s">
        <v>357</v>
      </c>
      <c r="C311">
        <v>2013</v>
      </c>
      <c r="D311" s="10">
        <v>737704.40599999996</v>
      </c>
      <c r="E311" s="10">
        <v>631066.44799999997</v>
      </c>
      <c r="F311" s="10">
        <v>106637.958</v>
      </c>
      <c r="G311" s="8">
        <v>432</v>
      </c>
      <c r="H311" s="8">
        <v>178</v>
      </c>
      <c r="I311" s="8">
        <v>610</v>
      </c>
      <c r="J311" s="9">
        <v>68.459999999999994</v>
      </c>
      <c r="K311" s="9">
        <v>166.92</v>
      </c>
      <c r="L311" s="9">
        <v>82.69</v>
      </c>
      <c r="M311" s="9">
        <v>82.69</v>
      </c>
      <c r="N311">
        <v>85.54</v>
      </c>
      <c r="O311">
        <v>14.46</v>
      </c>
      <c r="P311">
        <v>34.299999999999997</v>
      </c>
      <c r="Q311">
        <v>63.6</v>
      </c>
    </row>
    <row r="312" spans="1:17" x14ac:dyDescent="0.2">
      <c r="A312" t="s">
        <v>362</v>
      </c>
      <c r="B312" t="s">
        <v>357</v>
      </c>
      <c r="C312">
        <v>2014</v>
      </c>
      <c r="D312" s="10">
        <v>708602.73600000003</v>
      </c>
      <c r="E312" s="10">
        <v>607134.64500000002</v>
      </c>
      <c r="F312" s="10">
        <v>101468.091</v>
      </c>
      <c r="G312" s="8">
        <v>432</v>
      </c>
      <c r="H312" s="8">
        <v>203.5</v>
      </c>
      <c r="I312" s="8">
        <v>635.5</v>
      </c>
      <c r="J312" s="9">
        <v>71.150000000000006</v>
      </c>
      <c r="K312" s="9">
        <v>200.56</v>
      </c>
      <c r="L312" s="9">
        <v>89.68</v>
      </c>
      <c r="M312" s="9">
        <v>89.68</v>
      </c>
      <c r="N312">
        <v>85.68</v>
      </c>
      <c r="O312">
        <v>14.32</v>
      </c>
      <c r="P312">
        <v>37.299999999999997</v>
      </c>
      <c r="Q312">
        <v>66.400000000000006</v>
      </c>
    </row>
    <row r="313" spans="1:17" x14ac:dyDescent="0.2">
      <c r="A313" t="s">
        <v>363</v>
      </c>
      <c r="B313" t="s">
        <v>357</v>
      </c>
      <c r="C313">
        <v>2015</v>
      </c>
      <c r="D313" s="10">
        <v>732568.72199999995</v>
      </c>
      <c r="E313" s="10">
        <v>627016.56099999999</v>
      </c>
      <c r="F313" s="10">
        <v>105552.16099999999</v>
      </c>
      <c r="G313" s="8">
        <v>432</v>
      </c>
      <c r="H313" s="8">
        <v>191</v>
      </c>
      <c r="I313" s="8">
        <v>623</v>
      </c>
      <c r="J313" s="9">
        <v>68.900000000000006</v>
      </c>
      <c r="K313" s="9">
        <v>180.95</v>
      </c>
      <c r="L313" s="9">
        <v>85.04</v>
      </c>
      <c r="M313" s="9">
        <v>85.04</v>
      </c>
      <c r="N313">
        <v>85.59</v>
      </c>
      <c r="O313">
        <v>14.41</v>
      </c>
      <c r="P313">
        <v>32.4</v>
      </c>
      <c r="Q313">
        <v>64</v>
      </c>
    </row>
    <row r="314" spans="1:17" x14ac:dyDescent="0.2">
      <c r="A314" t="s">
        <v>364</v>
      </c>
      <c r="B314" t="s">
        <v>357</v>
      </c>
      <c r="C314">
        <v>2016</v>
      </c>
      <c r="D314" s="10">
        <v>624562.27899999998</v>
      </c>
      <c r="E314" s="10">
        <v>532162.22499999998</v>
      </c>
      <c r="F314" s="10">
        <v>92400.054000000004</v>
      </c>
      <c r="G314" s="8">
        <v>432</v>
      </c>
      <c r="H314" s="8">
        <v>162</v>
      </c>
      <c r="I314" s="8">
        <v>594</v>
      </c>
      <c r="J314" s="9">
        <v>81.180000000000007</v>
      </c>
      <c r="K314" s="9">
        <v>175.32</v>
      </c>
      <c r="L314" s="9">
        <v>95.11</v>
      </c>
      <c r="M314" s="9">
        <v>95.11</v>
      </c>
      <c r="N314">
        <v>85.21</v>
      </c>
      <c r="O314">
        <v>14.79</v>
      </c>
      <c r="P314">
        <v>30</v>
      </c>
      <c r="Q314">
        <v>65.7</v>
      </c>
    </row>
    <row r="315" spans="1:17" x14ac:dyDescent="0.2">
      <c r="A315" t="s">
        <v>365</v>
      </c>
      <c r="B315" t="s">
        <v>357</v>
      </c>
      <c r="C315">
        <v>2017</v>
      </c>
      <c r="D315" s="10">
        <v>834941</v>
      </c>
      <c r="E315" s="10">
        <v>708645</v>
      </c>
      <c r="F315" s="10">
        <v>126296</v>
      </c>
      <c r="G315" s="8">
        <v>432</v>
      </c>
      <c r="H315" s="8">
        <v>162</v>
      </c>
      <c r="I315" s="8">
        <v>594</v>
      </c>
      <c r="J315" s="9">
        <v>60.96</v>
      </c>
      <c r="K315" s="9">
        <v>128.27000000000001</v>
      </c>
      <c r="L315" s="9">
        <v>71.14</v>
      </c>
      <c r="M315" s="9">
        <v>71.14</v>
      </c>
      <c r="N315">
        <v>84.87</v>
      </c>
      <c r="O315">
        <v>15.13</v>
      </c>
      <c r="P315">
        <v>27.4</v>
      </c>
    </row>
    <row r="316" spans="1:17" x14ac:dyDescent="0.2">
      <c r="A316" t="s">
        <v>366</v>
      </c>
      <c r="B316" t="s">
        <v>367</v>
      </c>
      <c r="C316">
        <v>2009</v>
      </c>
      <c r="D316" s="10">
        <v>11447800.704</v>
      </c>
      <c r="E316" s="10">
        <v>9890511.2540000007</v>
      </c>
      <c r="F316" s="10">
        <v>1557289.45</v>
      </c>
      <c r="G316" s="8">
        <v>615.5</v>
      </c>
      <c r="H316" s="8">
        <v>1640</v>
      </c>
      <c r="I316" s="8">
        <v>2255.5</v>
      </c>
      <c r="J316" s="9">
        <v>6.22</v>
      </c>
      <c r="K316" s="9">
        <v>105.31</v>
      </c>
      <c r="L316" s="9">
        <v>19.7</v>
      </c>
      <c r="M316" s="9">
        <v>19.7</v>
      </c>
      <c r="N316">
        <v>86.4</v>
      </c>
      <c r="O316">
        <v>13.6</v>
      </c>
      <c r="Q316">
        <v>69.5</v>
      </c>
    </row>
    <row r="317" spans="1:17" x14ac:dyDescent="0.2">
      <c r="A317" t="s">
        <v>368</v>
      </c>
      <c r="B317" t="s">
        <v>367</v>
      </c>
      <c r="C317">
        <v>2010</v>
      </c>
      <c r="D317" s="10">
        <v>11534784.535</v>
      </c>
      <c r="E317" s="10">
        <v>9950915.1160000004</v>
      </c>
      <c r="F317" s="10">
        <v>1583869.419</v>
      </c>
      <c r="G317" s="8">
        <v>547</v>
      </c>
      <c r="H317" s="8">
        <v>1669</v>
      </c>
      <c r="I317" s="8">
        <v>2216</v>
      </c>
      <c r="J317" s="9">
        <v>5.5</v>
      </c>
      <c r="K317" s="9">
        <v>105.37</v>
      </c>
      <c r="L317" s="9">
        <v>19.21</v>
      </c>
      <c r="M317" s="9">
        <v>19.21</v>
      </c>
      <c r="N317">
        <v>86.27</v>
      </c>
      <c r="O317">
        <v>13.73</v>
      </c>
      <c r="P317">
        <v>32.200000000000003</v>
      </c>
      <c r="Q317">
        <v>63.7</v>
      </c>
    </row>
    <row r="318" spans="1:17" x14ac:dyDescent="0.2">
      <c r="A318" t="s">
        <v>369</v>
      </c>
      <c r="B318" t="s">
        <v>367</v>
      </c>
      <c r="C318">
        <v>2011</v>
      </c>
      <c r="D318" s="10">
        <v>11509673.368000001</v>
      </c>
      <c r="E318" s="10">
        <v>9906484.1740000006</v>
      </c>
      <c r="F318" s="10">
        <v>1603189.1939999999</v>
      </c>
      <c r="G318" s="8">
        <v>619</v>
      </c>
      <c r="H318" s="8">
        <v>1892</v>
      </c>
      <c r="I318" s="8">
        <v>2511</v>
      </c>
      <c r="J318" s="9">
        <v>6.25</v>
      </c>
      <c r="K318" s="9">
        <v>118.01</v>
      </c>
      <c r="L318" s="9">
        <v>21.82</v>
      </c>
      <c r="M318" s="9">
        <v>21.82</v>
      </c>
      <c r="N318">
        <v>86.07</v>
      </c>
      <c r="O318">
        <v>13.93</v>
      </c>
      <c r="P318">
        <v>31</v>
      </c>
      <c r="Q318">
        <v>68.099999999999994</v>
      </c>
    </row>
    <row r="319" spans="1:17" x14ac:dyDescent="0.2">
      <c r="A319" t="s">
        <v>370</v>
      </c>
      <c r="B319" t="s">
        <v>367</v>
      </c>
      <c r="C319">
        <v>2012</v>
      </c>
      <c r="D319" s="10">
        <v>11528159.698999999</v>
      </c>
      <c r="E319" s="10">
        <v>9892316.1860000007</v>
      </c>
      <c r="F319" s="10">
        <v>1635843.513</v>
      </c>
      <c r="G319" s="8">
        <v>573.5</v>
      </c>
      <c r="H319" s="8">
        <v>1881</v>
      </c>
      <c r="I319" s="8">
        <v>2454.5</v>
      </c>
      <c r="J319" s="9">
        <v>5.8</v>
      </c>
      <c r="K319" s="9">
        <v>114.99</v>
      </c>
      <c r="L319" s="9">
        <v>21.29</v>
      </c>
      <c r="M319" s="9">
        <v>21.29</v>
      </c>
      <c r="N319">
        <v>85.81</v>
      </c>
      <c r="O319">
        <v>14.19</v>
      </c>
      <c r="P319">
        <v>31.2</v>
      </c>
      <c r="Q319">
        <v>63.9</v>
      </c>
    </row>
    <row r="320" spans="1:17" x14ac:dyDescent="0.2">
      <c r="A320" t="s">
        <v>371</v>
      </c>
      <c r="B320" t="s">
        <v>367</v>
      </c>
      <c r="C320">
        <v>2013</v>
      </c>
      <c r="D320" s="10">
        <v>11205160.237</v>
      </c>
      <c r="E320" s="10">
        <v>9590559.0150000006</v>
      </c>
      <c r="F320" s="10">
        <v>1614601.2220000001</v>
      </c>
      <c r="G320" s="8">
        <v>624</v>
      </c>
      <c r="H320" s="8">
        <v>2005</v>
      </c>
      <c r="I320" s="8">
        <v>2629</v>
      </c>
      <c r="J320" s="9">
        <v>6.51</v>
      </c>
      <c r="K320" s="9">
        <v>124.18</v>
      </c>
      <c r="L320" s="9">
        <v>23.46</v>
      </c>
      <c r="M320" s="9">
        <v>23.46</v>
      </c>
      <c r="N320">
        <v>85.59</v>
      </c>
      <c r="O320">
        <v>14.41</v>
      </c>
      <c r="P320">
        <v>27.9</v>
      </c>
      <c r="Q320">
        <v>62.9</v>
      </c>
    </row>
    <row r="321" spans="1:17" x14ac:dyDescent="0.2">
      <c r="A321" t="s">
        <v>372</v>
      </c>
      <c r="B321" t="s">
        <v>367</v>
      </c>
      <c r="C321">
        <v>2014</v>
      </c>
      <c r="D321" s="10">
        <v>11680582.329</v>
      </c>
      <c r="E321" s="10">
        <v>9957253.1720000003</v>
      </c>
      <c r="F321" s="10">
        <v>1723329.1569999999</v>
      </c>
      <c r="G321" s="8">
        <v>657</v>
      </c>
      <c r="H321" s="8">
        <v>2025</v>
      </c>
      <c r="I321" s="8">
        <v>2682</v>
      </c>
      <c r="J321" s="9">
        <v>6.6</v>
      </c>
      <c r="K321" s="9">
        <v>117.51</v>
      </c>
      <c r="L321" s="9">
        <v>22.96</v>
      </c>
      <c r="M321" s="9">
        <v>22.96</v>
      </c>
      <c r="N321">
        <v>85.25</v>
      </c>
      <c r="O321">
        <v>14.75</v>
      </c>
      <c r="P321">
        <v>30.7</v>
      </c>
      <c r="Q321">
        <v>62.6</v>
      </c>
    </row>
    <row r="322" spans="1:17" x14ac:dyDescent="0.2">
      <c r="A322" t="s">
        <v>373</v>
      </c>
      <c r="B322" t="s">
        <v>367</v>
      </c>
      <c r="C322">
        <v>2015</v>
      </c>
      <c r="D322" s="10">
        <v>11139338.134</v>
      </c>
      <c r="E322" s="10">
        <v>9454228.0429999996</v>
      </c>
      <c r="F322" s="10">
        <v>1685110.091</v>
      </c>
      <c r="G322" s="8">
        <v>608</v>
      </c>
      <c r="H322" s="8">
        <v>2093</v>
      </c>
      <c r="I322" s="8">
        <v>2701</v>
      </c>
      <c r="J322" s="9">
        <v>6.43</v>
      </c>
      <c r="K322" s="9">
        <v>124.21</v>
      </c>
      <c r="L322" s="9">
        <v>24.25</v>
      </c>
      <c r="M322" s="9">
        <v>24.25</v>
      </c>
      <c r="N322">
        <v>84.87</v>
      </c>
      <c r="O322">
        <v>15.13</v>
      </c>
      <c r="P322">
        <v>27.3</v>
      </c>
      <c r="Q322">
        <v>61.2</v>
      </c>
    </row>
    <row r="323" spans="1:17" x14ac:dyDescent="0.2">
      <c r="A323" t="s">
        <v>374</v>
      </c>
      <c r="B323" t="s">
        <v>367</v>
      </c>
      <c r="C323">
        <v>2016</v>
      </c>
      <c r="D323" s="10">
        <v>11654116.319</v>
      </c>
      <c r="E323" s="10">
        <v>9839824.8599999994</v>
      </c>
      <c r="F323" s="10">
        <v>1814291.459</v>
      </c>
      <c r="G323" s="8">
        <v>616</v>
      </c>
      <c r="H323" s="8">
        <v>1773</v>
      </c>
      <c r="I323" s="8">
        <v>2389</v>
      </c>
      <c r="J323" s="9">
        <v>6.26</v>
      </c>
      <c r="K323" s="9">
        <v>97.72</v>
      </c>
      <c r="L323" s="9">
        <v>20.5</v>
      </c>
      <c r="M323" s="9">
        <v>20.5</v>
      </c>
      <c r="N323">
        <v>84.43</v>
      </c>
      <c r="O323">
        <v>15.57</v>
      </c>
      <c r="P323">
        <v>29.1</v>
      </c>
      <c r="Q323">
        <v>67.599999999999994</v>
      </c>
    </row>
    <row r="324" spans="1:17" x14ac:dyDescent="0.2">
      <c r="A324" t="s">
        <v>375</v>
      </c>
      <c r="B324" t="s">
        <v>367</v>
      </c>
      <c r="C324">
        <v>2017</v>
      </c>
      <c r="D324" s="10">
        <v>11305853</v>
      </c>
      <c r="E324" s="10">
        <v>9511472</v>
      </c>
      <c r="F324" s="10">
        <v>1794381</v>
      </c>
      <c r="G324" s="8">
        <v>610</v>
      </c>
      <c r="H324" s="8">
        <v>1888</v>
      </c>
      <c r="I324" s="8">
        <v>2498</v>
      </c>
      <c r="J324" s="9">
        <v>6.41</v>
      </c>
      <c r="K324" s="9">
        <v>105.22</v>
      </c>
      <c r="L324" s="9">
        <v>22.09</v>
      </c>
      <c r="M324" s="9">
        <v>22.09</v>
      </c>
      <c r="N324">
        <v>84.13</v>
      </c>
      <c r="O324">
        <v>15.87</v>
      </c>
      <c r="P324">
        <v>23.2</v>
      </c>
    </row>
    <row r="325" spans="1:17" x14ac:dyDescent="0.2">
      <c r="A325" t="s">
        <v>376</v>
      </c>
      <c r="B325" t="s">
        <v>377</v>
      </c>
      <c r="C325">
        <v>2009</v>
      </c>
      <c r="D325" s="10">
        <v>3607706.2719999999</v>
      </c>
      <c r="E325" s="10">
        <v>3126817.0040000002</v>
      </c>
      <c r="F325" s="10">
        <v>480889.26799999998</v>
      </c>
      <c r="G325" s="8">
        <v>454.5</v>
      </c>
      <c r="H325" s="8">
        <v>660</v>
      </c>
      <c r="I325" s="8">
        <v>1114.5</v>
      </c>
      <c r="J325" s="9">
        <v>14.54</v>
      </c>
      <c r="K325" s="9">
        <v>137.25</v>
      </c>
      <c r="L325" s="9">
        <v>30.89</v>
      </c>
      <c r="M325" s="9">
        <v>30.89</v>
      </c>
      <c r="N325">
        <v>86.67</v>
      </c>
      <c r="O325">
        <v>13.33</v>
      </c>
      <c r="Q325">
        <v>72.099999999999994</v>
      </c>
    </row>
    <row r="326" spans="1:17" x14ac:dyDescent="0.2">
      <c r="A326" t="s">
        <v>378</v>
      </c>
      <c r="B326" t="s">
        <v>377</v>
      </c>
      <c r="C326">
        <v>2010</v>
      </c>
      <c r="D326" s="10">
        <v>3627980.6690000002</v>
      </c>
      <c r="E326" s="10">
        <v>3145983.0490000001</v>
      </c>
      <c r="F326" s="10">
        <v>481997.62</v>
      </c>
      <c r="G326" s="8">
        <v>437.5</v>
      </c>
      <c r="H326" s="8">
        <v>615</v>
      </c>
      <c r="I326" s="8">
        <v>1052.5</v>
      </c>
      <c r="J326" s="9">
        <v>13.91</v>
      </c>
      <c r="K326" s="9">
        <v>127.59</v>
      </c>
      <c r="L326" s="9">
        <v>29.01</v>
      </c>
      <c r="M326" s="9">
        <v>29.01</v>
      </c>
      <c r="N326">
        <v>86.71</v>
      </c>
      <c r="O326">
        <v>13.29</v>
      </c>
      <c r="P326">
        <v>33</v>
      </c>
      <c r="Q326">
        <v>67.400000000000006</v>
      </c>
    </row>
    <row r="327" spans="1:17" x14ac:dyDescent="0.2">
      <c r="A327" t="s">
        <v>379</v>
      </c>
      <c r="B327" t="s">
        <v>377</v>
      </c>
      <c r="C327">
        <v>2011</v>
      </c>
      <c r="D327" s="11">
        <v>3554987.1439999999</v>
      </c>
      <c r="E327" s="10">
        <v>3082829.642</v>
      </c>
      <c r="F327" s="10">
        <v>472157.50199999998</v>
      </c>
      <c r="G327" s="8">
        <v>454.5</v>
      </c>
      <c r="H327" s="8">
        <v>678</v>
      </c>
      <c r="I327" s="8">
        <v>1132.5</v>
      </c>
      <c r="J327" s="9">
        <v>14.74</v>
      </c>
      <c r="K327" s="9">
        <v>143.6</v>
      </c>
      <c r="L327" s="9">
        <v>31.86</v>
      </c>
      <c r="M327" s="9">
        <v>31.86</v>
      </c>
      <c r="N327">
        <v>86.72</v>
      </c>
      <c r="O327">
        <v>13.28</v>
      </c>
      <c r="P327">
        <v>33.1</v>
      </c>
      <c r="Q327">
        <v>71.3</v>
      </c>
    </row>
    <row r="328" spans="1:17" x14ac:dyDescent="0.2">
      <c r="A328" t="s">
        <v>380</v>
      </c>
      <c r="B328" t="s">
        <v>377</v>
      </c>
      <c r="C328">
        <v>2012</v>
      </c>
      <c r="D328" s="10">
        <v>3764038.7059999998</v>
      </c>
      <c r="E328" s="10">
        <v>3253082.6039999998</v>
      </c>
      <c r="F328" s="10">
        <v>510956.10200000001</v>
      </c>
      <c r="G328" s="8">
        <v>451.5</v>
      </c>
      <c r="H328" s="8">
        <v>432.5</v>
      </c>
      <c r="I328" s="8">
        <v>884</v>
      </c>
      <c r="J328" s="9">
        <v>13.88</v>
      </c>
      <c r="K328" s="9">
        <v>84.65</v>
      </c>
      <c r="L328" s="9">
        <v>23.49</v>
      </c>
      <c r="M328" s="9">
        <v>23.49</v>
      </c>
      <c r="N328">
        <v>86.43</v>
      </c>
      <c r="O328">
        <v>13.57</v>
      </c>
      <c r="P328">
        <v>34.9</v>
      </c>
      <c r="Q328">
        <v>71.599999999999994</v>
      </c>
    </row>
    <row r="329" spans="1:17" x14ac:dyDescent="0.2">
      <c r="A329" t="s">
        <v>381</v>
      </c>
      <c r="B329" t="s">
        <v>377</v>
      </c>
      <c r="C329">
        <v>2013</v>
      </c>
      <c r="D329" s="10">
        <v>3783524.4649999999</v>
      </c>
      <c r="E329" s="10">
        <v>3258004.642</v>
      </c>
      <c r="F329" s="10">
        <v>525519.82299999997</v>
      </c>
      <c r="G329" s="8">
        <v>461</v>
      </c>
      <c r="H329" s="8">
        <v>560</v>
      </c>
      <c r="I329" s="8">
        <v>1021</v>
      </c>
      <c r="J329" s="9">
        <v>14.15</v>
      </c>
      <c r="K329" s="9">
        <v>106.56</v>
      </c>
      <c r="L329" s="9">
        <v>26.99</v>
      </c>
      <c r="M329" s="9">
        <v>26.99</v>
      </c>
      <c r="N329">
        <v>86.11</v>
      </c>
      <c r="O329">
        <v>13.89</v>
      </c>
      <c r="P329">
        <v>29.1</v>
      </c>
      <c r="Q329">
        <v>69.099999999999994</v>
      </c>
    </row>
    <row r="330" spans="1:17" x14ac:dyDescent="0.2">
      <c r="A330" t="s">
        <v>382</v>
      </c>
      <c r="B330" t="s">
        <v>377</v>
      </c>
      <c r="C330">
        <v>2014</v>
      </c>
      <c r="D330" s="10">
        <v>3831428.3160000001</v>
      </c>
      <c r="E330" s="10">
        <v>3293256.3939999999</v>
      </c>
      <c r="F330" s="10">
        <v>538171.92200000002</v>
      </c>
      <c r="G330" s="8">
        <v>484.5</v>
      </c>
      <c r="H330" s="8">
        <v>523.5</v>
      </c>
      <c r="I330" s="8">
        <v>1008</v>
      </c>
      <c r="J330" s="9">
        <v>14.71</v>
      </c>
      <c r="K330" s="9">
        <v>97.27</v>
      </c>
      <c r="L330" s="9">
        <v>26.31</v>
      </c>
      <c r="M330" s="9">
        <v>26.31</v>
      </c>
      <c r="N330">
        <v>85.95</v>
      </c>
      <c r="O330">
        <v>14.05</v>
      </c>
      <c r="P330">
        <v>36</v>
      </c>
      <c r="Q330">
        <v>72.2</v>
      </c>
    </row>
    <row r="331" spans="1:17" x14ac:dyDescent="0.2">
      <c r="A331" t="s">
        <v>383</v>
      </c>
      <c r="B331" t="s">
        <v>377</v>
      </c>
      <c r="C331">
        <v>2015</v>
      </c>
      <c r="D331" s="10">
        <v>4147490.3080000002</v>
      </c>
      <c r="E331" s="10">
        <v>3545078.0090000001</v>
      </c>
      <c r="F331" s="10">
        <v>602412.299</v>
      </c>
      <c r="G331" s="8">
        <v>449</v>
      </c>
      <c r="H331" s="8">
        <v>571.5</v>
      </c>
      <c r="I331" s="8">
        <v>1020.5</v>
      </c>
      <c r="J331" s="9">
        <v>12.67</v>
      </c>
      <c r="K331" s="9">
        <v>94.87</v>
      </c>
      <c r="L331" s="9">
        <v>24.61</v>
      </c>
      <c r="M331" s="9">
        <v>24.61</v>
      </c>
      <c r="N331">
        <v>85.48</v>
      </c>
      <c r="O331">
        <v>14.52</v>
      </c>
      <c r="P331">
        <v>30.2</v>
      </c>
      <c r="Q331">
        <v>68.7</v>
      </c>
    </row>
    <row r="332" spans="1:17" x14ac:dyDescent="0.2">
      <c r="A332" t="s">
        <v>384</v>
      </c>
      <c r="B332" t="s">
        <v>377</v>
      </c>
      <c r="C332">
        <v>2016</v>
      </c>
      <c r="D332" s="10">
        <v>3792874.8190000001</v>
      </c>
      <c r="E332" s="10">
        <v>3240907.236</v>
      </c>
      <c r="F332" s="10">
        <v>551967.58299999998</v>
      </c>
      <c r="G332" s="8">
        <v>446</v>
      </c>
      <c r="H332" s="8">
        <v>398</v>
      </c>
      <c r="I332" s="8">
        <v>844</v>
      </c>
      <c r="J332" s="9">
        <v>13.76</v>
      </c>
      <c r="K332" s="9">
        <v>72.11</v>
      </c>
      <c r="L332" s="9">
        <v>22.25</v>
      </c>
      <c r="M332" s="9">
        <v>22.25</v>
      </c>
      <c r="N332">
        <v>85.45</v>
      </c>
      <c r="O332">
        <v>14.55</v>
      </c>
      <c r="P332">
        <v>30.3</v>
      </c>
      <c r="Q332">
        <v>69.3</v>
      </c>
    </row>
    <row r="333" spans="1:17" x14ac:dyDescent="0.2">
      <c r="A333" t="s">
        <v>385</v>
      </c>
      <c r="B333" t="s">
        <v>377</v>
      </c>
      <c r="C333">
        <v>2017</v>
      </c>
      <c r="D333" s="10">
        <v>3999441</v>
      </c>
      <c r="E333" s="10">
        <v>3413192</v>
      </c>
      <c r="F333" s="10">
        <v>586249</v>
      </c>
      <c r="G333" s="8">
        <v>443</v>
      </c>
      <c r="H333" s="8">
        <v>482</v>
      </c>
      <c r="I333" s="8">
        <v>925</v>
      </c>
      <c r="J333" s="9">
        <v>12.98</v>
      </c>
      <c r="K333" s="9">
        <v>82.22</v>
      </c>
      <c r="L333" s="9">
        <v>23.13</v>
      </c>
      <c r="M333" s="9">
        <v>23.13</v>
      </c>
      <c r="N333">
        <v>85.34</v>
      </c>
      <c r="O333">
        <v>14.66</v>
      </c>
      <c r="P333">
        <v>27.6</v>
      </c>
    </row>
    <row r="334" spans="1:17" x14ac:dyDescent="0.2">
      <c r="A334" t="s">
        <v>386</v>
      </c>
      <c r="B334" t="s">
        <v>387</v>
      </c>
      <c r="C334">
        <v>2009</v>
      </c>
      <c r="D334" s="10">
        <v>3696373.4759999998</v>
      </c>
      <c r="E334" s="10">
        <v>3208064.39</v>
      </c>
      <c r="F334" s="10">
        <v>488309.08600000001</v>
      </c>
      <c r="G334" s="8">
        <v>432</v>
      </c>
      <c r="H334" s="8">
        <v>380.5</v>
      </c>
      <c r="I334" s="8">
        <v>812.5</v>
      </c>
      <c r="J334" s="9">
        <v>13.47</v>
      </c>
      <c r="K334" s="9">
        <v>77.92</v>
      </c>
      <c r="L334" s="9">
        <v>21.98</v>
      </c>
      <c r="M334" s="9">
        <v>21.98</v>
      </c>
      <c r="N334">
        <v>86.79</v>
      </c>
      <c r="O334">
        <v>13.21</v>
      </c>
      <c r="Q334">
        <v>71.599999999999994</v>
      </c>
    </row>
    <row r="335" spans="1:17" x14ac:dyDescent="0.2">
      <c r="A335" t="s">
        <v>388</v>
      </c>
      <c r="B335" t="s">
        <v>387</v>
      </c>
      <c r="C335">
        <v>2010</v>
      </c>
      <c r="D335" s="10">
        <v>3764384.3</v>
      </c>
      <c r="E335" s="10">
        <v>3255895.912</v>
      </c>
      <c r="F335" s="10">
        <v>508488.38799999998</v>
      </c>
      <c r="G335" s="8">
        <v>432</v>
      </c>
      <c r="H335" s="8">
        <v>355.5</v>
      </c>
      <c r="I335" s="8">
        <v>787.5</v>
      </c>
      <c r="J335" s="9">
        <v>13.27</v>
      </c>
      <c r="K335" s="9">
        <v>69.91</v>
      </c>
      <c r="L335" s="9">
        <v>20.92</v>
      </c>
      <c r="M335" s="9">
        <v>20.92</v>
      </c>
      <c r="N335">
        <v>86.49</v>
      </c>
      <c r="O335">
        <v>13.51</v>
      </c>
      <c r="P335">
        <v>27.4</v>
      </c>
      <c r="Q335">
        <v>60.7</v>
      </c>
    </row>
    <row r="336" spans="1:17" x14ac:dyDescent="0.2">
      <c r="A336" t="s">
        <v>389</v>
      </c>
      <c r="B336" t="s">
        <v>387</v>
      </c>
      <c r="C336">
        <v>2011</v>
      </c>
      <c r="D336" s="10">
        <v>3745771.162</v>
      </c>
      <c r="E336" s="10">
        <v>3236118.3790000002</v>
      </c>
      <c r="F336" s="10">
        <v>509652.783</v>
      </c>
      <c r="G336" s="8">
        <v>432</v>
      </c>
      <c r="H336" s="8">
        <v>336</v>
      </c>
      <c r="I336" s="8">
        <v>768</v>
      </c>
      <c r="J336" s="9">
        <v>13.35</v>
      </c>
      <c r="K336" s="9">
        <v>65.930000000000007</v>
      </c>
      <c r="L336" s="9">
        <v>20.5</v>
      </c>
      <c r="M336" s="9">
        <v>20.5</v>
      </c>
      <c r="N336">
        <v>86.39</v>
      </c>
      <c r="O336">
        <v>13.61</v>
      </c>
      <c r="P336">
        <v>30.4</v>
      </c>
      <c r="Q336">
        <v>58</v>
      </c>
    </row>
    <row r="337" spans="1:17" x14ac:dyDescent="0.2">
      <c r="A337" t="s">
        <v>390</v>
      </c>
      <c r="B337" t="s">
        <v>387</v>
      </c>
      <c r="C337">
        <v>2012</v>
      </c>
      <c r="D337" s="10">
        <v>3858625.7659999998</v>
      </c>
      <c r="E337" s="10">
        <v>3327550.7859999998</v>
      </c>
      <c r="F337" s="10">
        <v>531074.98</v>
      </c>
      <c r="G337" s="8">
        <v>432</v>
      </c>
      <c r="H337" s="8">
        <v>319</v>
      </c>
      <c r="I337" s="8">
        <v>751</v>
      </c>
      <c r="J337" s="9">
        <v>12.98</v>
      </c>
      <c r="K337" s="9">
        <v>60.07</v>
      </c>
      <c r="L337" s="9">
        <v>19.46</v>
      </c>
      <c r="M337" s="9">
        <v>19.46</v>
      </c>
      <c r="N337">
        <v>86.24</v>
      </c>
      <c r="O337">
        <v>13.76</v>
      </c>
      <c r="P337">
        <v>29.8</v>
      </c>
      <c r="Q337">
        <v>61.3</v>
      </c>
    </row>
    <row r="338" spans="1:17" x14ac:dyDescent="0.2">
      <c r="A338" t="s">
        <v>391</v>
      </c>
      <c r="B338" t="s">
        <v>387</v>
      </c>
      <c r="C338">
        <v>2013</v>
      </c>
      <c r="D338" s="10">
        <v>3894646.8530000001</v>
      </c>
      <c r="E338" s="10">
        <v>3336479.5720000002</v>
      </c>
      <c r="F338" s="10">
        <v>558167.28099999996</v>
      </c>
      <c r="G338" s="8">
        <v>432</v>
      </c>
      <c r="H338" s="8">
        <v>392</v>
      </c>
      <c r="I338" s="8">
        <v>824</v>
      </c>
      <c r="J338" s="9">
        <v>12.95</v>
      </c>
      <c r="K338" s="9">
        <v>70.23</v>
      </c>
      <c r="L338" s="9">
        <v>21.16</v>
      </c>
      <c r="M338" s="9">
        <v>21.16</v>
      </c>
      <c r="N338">
        <v>85.67</v>
      </c>
      <c r="O338">
        <v>14.33</v>
      </c>
      <c r="P338">
        <v>26.7</v>
      </c>
      <c r="Q338">
        <v>58.9</v>
      </c>
    </row>
    <row r="339" spans="1:17" x14ac:dyDescent="0.2">
      <c r="A339" t="s">
        <v>392</v>
      </c>
      <c r="B339" t="s">
        <v>387</v>
      </c>
      <c r="C339">
        <v>2014</v>
      </c>
      <c r="D339" s="10">
        <v>3931174.4849999999</v>
      </c>
      <c r="E339" s="11">
        <v>3348021.9279999998</v>
      </c>
      <c r="F339" s="10">
        <v>583152.55700000003</v>
      </c>
      <c r="G339" s="8">
        <v>456</v>
      </c>
      <c r="H339" s="8">
        <v>334.5</v>
      </c>
      <c r="I339" s="8">
        <v>790.5</v>
      </c>
      <c r="J339" s="9">
        <v>13.62</v>
      </c>
      <c r="K339" s="9">
        <v>57.36</v>
      </c>
      <c r="L339" s="9">
        <v>20.11</v>
      </c>
      <c r="M339" s="9">
        <v>20.11</v>
      </c>
      <c r="N339">
        <v>85.17</v>
      </c>
      <c r="O339">
        <v>14.83</v>
      </c>
      <c r="P339">
        <v>28.1</v>
      </c>
      <c r="Q339">
        <v>60</v>
      </c>
    </row>
    <row r="340" spans="1:17" x14ac:dyDescent="0.2">
      <c r="A340" t="s">
        <v>393</v>
      </c>
      <c r="B340" t="s">
        <v>387</v>
      </c>
      <c r="C340">
        <v>2015</v>
      </c>
      <c r="D340" s="10">
        <v>3812182.7140000002</v>
      </c>
      <c r="E340" s="11">
        <v>3232739.9169999999</v>
      </c>
      <c r="F340" s="10">
        <v>579442.79700000002</v>
      </c>
      <c r="G340" s="8">
        <v>432</v>
      </c>
      <c r="H340" s="8">
        <v>371.5</v>
      </c>
      <c r="I340" s="8">
        <v>803.5</v>
      </c>
      <c r="J340" s="9">
        <v>13.36</v>
      </c>
      <c r="K340" s="9">
        <v>64.11</v>
      </c>
      <c r="L340" s="9">
        <v>21.08</v>
      </c>
      <c r="M340" s="9">
        <v>21.08</v>
      </c>
      <c r="N340">
        <v>84.8</v>
      </c>
      <c r="O340">
        <v>15.2</v>
      </c>
      <c r="P340">
        <v>27.3</v>
      </c>
      <c r="Q340">
        <v>55.8</v>
      </c>
    </row>
    <row r="341" spans="1:17" x14ac:dyDescent="0.2">
      <c r="A341" t="s">
        <v>394</v>
      </c>
      <c r="B341" t="s">
        <v>387</v>
      </c>
      <c r="C341">
        <v>2016</v>
      </c>
      <c r="D341" s="10">
        <v>4029504.0669999998</v>
      </c>
      <c r="E341" s="10">
        <v>3385524.997</v>
      </c>
      <c r="F341" s="10">
        <v>643979.06999999995</v>
      </c>
      <c r="G341" s="8">
        <v>432</v>
      </c>
      <c r="H341" s="8">
        <v>335</v>
      </c>
      <c r="I341" s="8">
        <v>767</v>
      </c>
      <c r="J341" s="9">
        <v>12.76</v>
      </c>
      <c r="K341" s="9">
        <v>52.02</v>
      </c>
      <c r="L341" s="9">
        <v>19.03</v>
      </c>
      <c r="M341" s="9">
        <v>19.03</v>
      </c>
      <c r="N341">
        <v>84.02</v>
      </c>
      <c r="O341">
        <v>15.98</v>
      </c>
      <c r="P341">
        <v>24.4</v>
      </c>
      <c r="Q341">
        <v>57.2</v>
      </c>
    </row>
    <row r="342" spans="1:17" x14ac:dyDescent="0.2">
      <c r="A342" t="s">
        <v>395</v>
      </c>
      <c r="B342" t="s">
        <v>387</v>
      </c>
      <c r="C342">
        <v>2017</v>
      </c>
      <c r="D342" s="10">
        <v>3951844</v>
      </c>
      <c r="E342" s="10">
        <v>3314444</v>
      </c>
      <c r="F342" s="10">
        <v>637400</v>
      </c>
      <c r="G342" s="8">
        <v>444</v>
      </c>
      <c r="H342" s="8">
        <v>464.5</v>
      </c>
      <c r="I342" s="8">
        <v>908.5</v>
      </c>
      <c r="J342" s="9">
        <v>13.4</v>
      </c>
      <c r="K342" s="9">
        <v>72.87</v>
      </c>
      <c r="L342" s="9">
        <v>22.99</v>
      </c>
      <c r="M342" s="9">
        <v>22.99</v>
      </c>
      <c r="N342">
        <v>83.87</v>
      </c>
      <c r="O342">
        <v>16.13</v>
      </c>
      <c r="P342">
        <v>24.3</v>
      </c>
    </row>
    <row r="343" spans="1:17" x14ac:dyDescent="0.2">
      <c r="A343" t="s">
        <v>396</v>
      </c>
      <c r="B343" t="s">
        <v>397</v>
      </c>
      <c r="C343">
        <v>2009</v>
      </c>
      <c r="D343" s="10">
        <v>12539245.863</v>
      </c>
      <c r="E343" s="10">
        <v>10619881.873</v>
      </c>
      <c r="F343" s="10">
        <v>1919363.99</v>
      </c>
      <c r="G343" s="8">
        <v>604</v>
      </c>
      <c r="H343" s="8">
        <v>2188</v>
      </c>
      <c r="I343" s="8">
        <v>2792</v>
      </c>
      <c r="J343" s="9">
        <v>5.69</v>
      </c>
      <c r="K343" s="9">
        <v>114</v>
      </c>
      <c r="L343" s="9">
        <v>22.27</v>
      </c>
      <c r="M343" s="9">
        <v>22.27</v>
      </c>
      <c r="N343">
        <v>84.69</v>
      </c>
      <c r="O343">
        <v>15.31</v>
      </c>
      <c r="Q343">
        <v>72.099999999999994</v>
      </c>
    </row>
    <row r="344" spans="1:17" x14ac:dyDescent="0.2">
      <c r="A344" t="s">
        <v>398</v>
      </c>
      <c r="B344" t="s">
        <v>397</v>
      </c>
      <c r="C344">
        <v>2010</v>
      </c>
      <c r="D344" s="10">
        <v>12555909.896</v>
      </c>
      <c r="E344" s="10">
        <v>10636124.482999999</v>
      </c>
      <c r="F344" s="10">
        <v>1919785.4129999999</v>
      </c>
      <c r="G344" s="8">
        <v>518.5</v>
      </c>
      <c r="H344" s="8">
        <v>2047</v>
      </c>
      <c r="I344" s="8">
        <v>2565.5</v>
      </c>
      <c r="J344" s="9">
        <v>4.87</v>
      </c>
      <c r="K344" s="9">
        <v>106.63</v>
      </c>
      <c r="L344" s="9">
        <v>20.43</v>
      </c>
      <c r="M344" s="9">
        <v>20.43</v>
      </c>
      <c r="N344">
        <v>84.71</v>
      </c>
      <c r="O344">
        <v>15.29</v>
      </c>
      <c r="P344">
        <v>32.5</v>
      </c>
      <c r="Q344">
        <v>67</v>
      </c>
    </row>
    <row r="345" spans="1:17" x14ac:dyDescent="0.2">
      <c r="A345" t="s">
        <v>399</v>
      </c>
      <c r="B345" t="s">
        <v>397</v>
      </c>
      <c r="C345">
        <v>2011</v>
      </c>
      <c r="D345" s="10">
        <v>12532819.229</v>
      </c>
      <c r="E345" s="10">
        <v>10609877.875</v>
      </c>
      <c r="F345" s="10">
        <v>1922941.3540000001</v>
      </c>
      <c r="G345" s="8">
        <v>576.5</v>
      </c>
      <c r="H345" s="8">
        <v>2426</v>
      </c>
      <c r="I345" s="8">
        <v>3002.5</v>
      </c>
      <c r="J345" s="9">
        <v>5.43</v>
      </c>
      <c r="K345" s="9">
        <v>126.16</v>
      </c>
      <c r="L345" s="9">
        <v>23.96</v>
      </c>
      <c r="M345" s="9">
        <v>23.96</v>
      </c>
      <c r="N345">
        <v>84.66</v>
      </c>
      <c r="O345">
        <v>15.34</v>
      </c>
      <c r="P345">
        <v>30.4</v>
      </c>
      <c r="Q345">
        <v>67.599999999999994</v>
      </c>
    </row>
    <row r="346" spans="1:17" x14ac:dyDescent="0.2">
      <c r="A346" t="s">
        <v>400</v>
      </c>
      <c r="B346" t="s">
        <v>397</v>
      </c>
      <c r="C346">
        <v>2012</v>
      </c>
      <c r="D346" s="10">
        <v>12641183.436000001</v>
      </c>
      <c r="E346" s="10">
        <v>10678140.99</v>
      </c>
      <c r="F346" s="10">
        <v>1963042.446</v>
      </c>
      <c r="G346" s="8">
        <v>483</v>
      </c>
      <c r="H346" s="8">
        <v>2112</v>
      </c>
      <c r="I346" s="8">
        <v>2595</v>
      </c>
      <c r="J346" s="9">
        <v>4.5199999999999996</v>
      </c>
      <c r="K346" s="9">
        <v>107.59</v>
      </c>
      <c r="L346" s="9">
        <v>20.53</v>
      </c>
      <c r="M346" s="9">
        <v>20.53</v>
      </c>
      <c r="N346">
        <v>84.47</v>
      </c>
      <c r="O346">
        <v>15.53</v>
      </c>
      <c r="P346">
        <v>30.6</v>
      </c>
      <c r="Q346">
        <v>64.599999999999994</v>
      </c>
    </row>
    <row r="347" spans="1:17" x14ac:dyDescent="0.2">
      <c r="A347" t="s">
        <v>401</v>
      </c>
      <c r="B347" t="s">
        <v>397</v>
      </c>
      <c r="C347">
        <v>2013</v>
      </c>
      <c r="D347" s="10">
        <v>12667796.549000001</v>
      </c>
      <c r="E347" s="10">
        <v>10677786.370999999</v>
      </c>
      <c r="F347" s="10">
        <v>1990010.1780000001</v>
      </c>
      <c r="G347" s="8">
        <v>578.5</v>
      </c>
      <c r="H347" s="8">
        <v>2536</v>
      </c>
      <c r="I347" s="8">
        <v>3114.5</v>
      </c>
      <c r="J347" s="9">
        <v>5.42</v>
      </c>
      <c r="K347" s="9">
        <v>127.44</v>
      </c>
      <c r="L347" s="9">
        <v>24.59</v>
      </c>
      <c r="M347" s="9">
        <v>24.59</v>
      </c>
      <c r="N347">
        <v>84.29</v>
      </c>
      <c r="O347">
        <v>15.71</v>
      </c>
      <c r="P347">
        <v>28.8</v>
      </c>
      <c r="Q347">
        <v>65.400000000000006</v>
      </c>
    </row>
    <row r="348" spans="1:17" x14ac:dyDescent="0.2">
      <c r="A348" t="s">
        <v>402</v>
      </c>
      <c r="B348" t="s">
        <v>397</v>
      </c>
      <c r="C348">
        <v>2014</v>
      </c>
      <c r="D348" s="10">
        <v>12571070.560000001</v>
      </c>
      <c r="E348" s="10">
        <v>10559016.259</v>
      </c>
      <c r="F348" s="10">
        <v>2012054.301</v>
      </c>
      <c r="G348" s="8">
        <v>633.5</v>
      </c>
      <c r="H348" s="8">
        <v>2163</v>
      </c>
      <c r="I348" s="8">
        <v>2796.5</v>
      </c>
      <c r="J348" s="9">
        <v>6</v>
      </c>
      <c r="K348" s="9">
        <v>107.5</v>
      </c>
      <c r="L348" s="9">
        <v>22.25</v>
      </c>
      <c r="M348" s="9">
        <v>22.25</v>
      </c>
      <c r="N348">
        <v>83.99</v>
      </c>
      <c r="O348">
        <v>16.010000000000002</v>
      </c>
      <c r="P348">
        <v>33.4</v>
      </c>
      <c r="Q348">
        <v>71.5</v>
      </c>
    </row>
    <row r="349" spans="1:17" x14ac:dyDescent="0.2">
      <c r="A349" t="s">
        <v>403</v>
      </c>
      <c r="B349" t="s">
        <v>397</v>
      </c>
      <c r="C349">
        <v>2015</v>
      </c>
      <c r="D349" s="10">
        <v>12624536.668</v>
      </c>
      <c r="E349" s="10">
        <v>10579457.039999999</v>
      </c>
      <c r="F349" s="10">
        <v>2045079.628</v>
      </c>
      <c r="G349" s="8">
        <v>599.5</v>
      </c>
      <c r="H349" s="8">
        <v>2560</v>
      </c>
      <c r="I349" s="8">
        <v>3159.5</v>
      </c>
      <c r="J349" s="9">
        <v>5.67</v>
      </c>
      <c r="K349" s="9">
        <v>125.18</v>
      </c>
      <c r="L349" s="9">
        <v>25.03</v>
      </c>
      <c r="M349" s="9">
        <v>25.03</v>
      </c>
      <c r="N349">
        <v>83.8</v>
      </c>
      <c r="O349">
        <v>16.2</v>
      </c>
      <c r="P349">
        <v>31.5</v>
      </c>
      <c r="Q349">
        <v>67</v>
      </c>
    </row>
    <row r="350" spans="1:17" x14ac:dyDescent="0.2">
      <c r="A350" t="s">
        <v>404</v>
      </c>
      <c r="B350" t="s">
        <v>397</v>
      </c>
      <c r="C350">
        <v>2016</v>
      </c>
      <c r="D350" s="10">
        <v>12897941.098999999</v>
      </c>
      <c r="E350" s="10">
        <v>10749722.264</v>
      </c>
      <c r="F350" s="10">
        <v>2148218.835</v>
      </c>
      <c r="G350" s="8">
        <v>549.5</v>
      </c>
      <c r="H350" s="8">
        <v>2171</v>
      </c>
      <c r="I350" s="8">
        <v>2720.5</v>
      </c>
      <c r="J350" s="9">
        <v>5.1100000000000003</v>
      </c>
      <c r="K350" s="9">
        <v>101.06</v>
      </c>
      <c r="L350" s="9">
        <v>21.09</v>
      </c>
      <c r="M350" s="9">
        <v>21.09</v>
      </c>
      <c r="N350">
        <v>83.34</v>
      </c>
      <c r="O350">
        <v>16.66</v>
      </c>
      <c r="P350">
        <v>35.1</v>
      </c>
      <c r="Q350">
        <v>72.3</v>
      </c>
    </row>
    <row r="351" spans="1:17" x14ac:dyDescent="0.2">
      <c r="A351" t="s">
        <v>405</v>
      </c>
      <c r="B351" t="s">
        <v>397</v>
      </c>
      <c r="C351">
        <v>2017</v>
      </c>
      <c r="D351" s="10">
        <v>12858104</v>
      </c>
      <c r="E351" s="10">
        <v>10664700</v>
      </c>
      <c r="F351" s="10">
        <v>2193404</v>
      </c>
      <c r="G351" s="8">
        <v>592.5</v>
      </c>
      <c r="H351" s="8">
        <v>2393</v>
      </c>
      <c r="I351" s="8">
        <v>2985.5</v>
      </c>
      <c r="J351" s="9">
        <v>5.56</v>
      </c>
      <c r="K351" s="9">
        <v>109.1</v>
      </c>
      <c r="L351" s="9">
        <v>23.22</v>
      </c>
      <c r="M351" s="9">
        <v>23.22</v>
      </c>
      <c r="N351">
        <v>82.94</v>
      </c>
      <c r="O351">
        <v>17.059999999999999</v>
      </c>
      <c r="P351">
        <v>30.2</v>
      </c>
    </row>
    <row r="352" spans="1:17" x14ac:dyDescent="0.2">
      <c r="A352" t="s">
        <v>406</v>
      </c>
      <c r="B352" t="s">
        <v>407</v>
      </c>
      <c r="C352">
        <v>2009</v>
      </c>
      <c r="D352" s="11">
        <v>1057343.51299999</v>
      </c>
      <c r="E352" s="10">
        <v>907960.36800000002</v>
      </c>
      <c r="F352" s="10">
        <v>149383.14499999999</v>
      </c>
      <c r="G352" s="8">
        <v>432</v>
      </c>
      <c r="H352" s="8">
        <v>209.5</v>
      </c>
      <c r="I352" s="8">
        <v>641.5</v>
      </c>
      <c r="J352" s="9">
        <v>47.58</v>
      </c>
      <c r="K352" s="9">
        <v>140.24</v>
      </c>
      <c r="L352" s="9">
        <v>60.67</v>
      </c>
      <c r="M352" s="9">
        <v>60.67</v>
      </c>
      <c r="N352">
        <v>85.87</v>
      </c>
      <c r="O352">
        <v>14.13</v>
      </c>
      <c r="Q352">
        <v>77.2</v>
      </c>
    </row>
    <row r="353" spans="1:17" x14ac:dyDescent="0.2">
      <c r="A353" t="s">
        <v>408</v>
      </c>
      <c r="B353" t="s">
        <v>407</v>
      </c>
      <c r="C353">
        <v>2010</v>
      </c>
      <c r="D353" s="11">
        <v>1055669.83799999</v>
      </c>
      <c r="E353" s="10">
        <v>905806.72900000005</v>
      </c>
      <c r="F353" s="10">
        <v>149863.109</v>
      </c>
      <c r="G353" s="8">
        <v>432</v>
      </c>
      <c r="H353" s="8">
        <v>221</v>
      </c>
      <c r="I353" s="8">
        <v>653</v>
      </c>
      <c r="J353" s="9">
        <v>47.69</v>
      </c>
      <c r="K353" s="9">
        <v>147.47</v>
      </c>
      <c r="L353" s="9">
        <v>61.86</v>
      </c>
      <c r="M353" s="9">
        <v>61.86</v>
      </c>
      <c r="N353">
        <v>85.8</v>
      </c>
      <c r="O353">
        <v>14.2</v>
      </c>
      <c r="P353">
        <v>37.6</v>
      </c>
      <c r="Q353">
        <v>65</v>
      </c>
    </row>
    <row r="354" spans="1:17" x14ac:dyDescent="0.2">
      <c r="A354" t="s">
        <v>409</v>
      </c>
      <c r="B354" t="s">
        <v>407</v>
      </c>
      <c r="C354">
        <v>2011</v>
      </c>
      <c r="D354" s="10">
        <v>1054534.4650000001</v>
      </c>
      <c r="E354" s="10">
        <v>903532.93700000003</v>
      </c>
      <c r="F354" s="10">
        <v>151001.52799999999</v>
      </c>
      <c r="G354" s="8">
        <v>432</v>
      </c>
      <c r="H354" s="8">
        <v>231.5</v>
      </c>
      <c r="I354" s="8">
        <v>663.5</v>
      </c>
      <c r="J354" s="9">
        <v>47.81</v>
      </c>
      <c r="K354" s="9">
        <v>153.31</v>
      </c>
      <c r="L354" s="9">
        <v>62.92</v>
      </c>
      <c r="M354" s="9">
        <v>62.92</v>
      </c>
      <c r="N354">
        <v>85.68</v>
      </c>
      <c r="O354">
        <v>14.32</v>
      </c>
      <c r="P354">
        <v>32.6</v>
      </c>
      <c r="Q354">
        <v>60.3</v>
      </c>
    </row>
    <row r="355" spans="1:17" x14ac:dyDescent="0.2">
      <c r="A355" t="s">
        <v>410</v>
      </c>
      <c r="B355" t="s">
        <v>407</v>
      </c>
      <c r="C355">
        <v>2012</v>
      </c>
      <c r="D355" s="10">
        <v>1051541.466</v>
      </c>
      <c r="E355" s="11">
        <v>898907.51399999997</v>
      </c>
      <c r="F355" s="11">
        <v>152633.95199999999</v>
      </c>
      <c r="G355" s="8">
        <v>432</v>
      </c>
      <c r="H355" s="8">
        <v>179.5</v>
      </c>
      <c r="I355" s="8">
        <v>611.5</v>
      </c>
      <c r="J355" s="9">
        <v>48.06</v>
      </c>
      <c r="K355" s="9">
        <v>117.6</v>
      </c>
      <c r="L355" s="9">
        <v>58.15</v>
      </c>
      <c r="M355" s="9">
        <v>58.15</v>
      </c>
      <c r="N355">
        <v>85.48</v>
      </c>
      <c r="O355">
        <v>14.52</v>
      </c>
      <c r="P355">
        <v>38.1</v>
      </c>
      <c r="Q355">
        <v>71.5</v>
      </c>
    </row>
    <row r="356" spans="1:17" x14ac:dyDescent="0.2">
      <c r="A356" t="s">
        <v>411</v>
      </c>
      <c r="B356" t="s">
        <v>407</v>
      </c>
      <c r="C356">
        <v>2013</v>
      </c>
      <c r="D356" s="10">
        <v>1053281.1939999999</v>
      </c>
      <c r="E356" s="11">
        <v>897377.826999999</v>
      </c>
      <c r="F356" s="11">
        <v>155903.36699999901</v>
      </c>
      <c r="G356" s="8">
        <v>432</v>
      </c>
      <c r="H356" s="8">
        <v>210.5</v>
      </c>
      <c r="I356" s="8">
        <v>642.5</v>
      </c>
      <c r="J356" s="9">
        <v>48.14</v>
      </c>
      <c r="K356" s="9">
        <v>135.02000000000001</v>
      </c>
      <c r="L356" s="9">
        <v>61</v>
      </c>
      <c r="M356" s="9">
        <v>61</v>
      </c>
      <c r="N356">
        <v>85.2</v>
      </c>
      <c r="O356">
        <v>14.8</v>
      </c>
      <c r="P356">
        <v>38.9</v>
      </c>
      <c r="Q356">
        <v>68.7</v>
      </c>
    </row>
    <row r="357" spans="1:17" x14ac:dyDescent="0.2">
      <c r="A357" t="s">
        <v>412</v>
      </c>
      <c r="B357" t="s">
        <v>407</v>
      </c>
      <c r="C357">
        <v>2014</v>
      </c>
      <c r="D357" s="10">
        <v>1051833.3970000001</v>
      </c>
      <c r="E357" s="11">
        <v>892939.52099999902</v>
      </c>
      <c r="F357" s="10">
        <v>158893.87599999999</v>
      </c>
      <c r="G357" s="8">
        <v>432</v>
      </c>
      <c r="H357" s="8">
        <v>200</v>
      </c>
      <c r="I357" s="8">
        <v>632</v>
      </c>
      <c r="J357" s="9">
        <v>48.38</v>
      </c>
      <c r="K357" s="9">
        <v>125.87</v>
      </c>
      <c r="L357" s="9">
        <v>60.09</v>
      </c>
      <c r="M357" s="9">
        <v>60.09</v>
      </c>
      <c r="N357">
        <v>84.89</v>
      </c>
      <c r="O357">
        <v>15.11</v>
      </c>
      <c r="P357">
        <v>40.700000000000003</v>
      </c>
      <c r="Q357">
        <v>67.400000000000006</v>
      </c>
    </row>
    <row r="358" spans="1:17" x14ac:dyDescent="0.2">
      <c r="A358" t="s">
        <v>413</v>
      </c>
      <c r="B358" t="s">
        <v>407</v>
      </c>
      <c r="C358">
        <v>2015</v>
      </c>
      <c r="D358" s="10">
        <v>1136799.5560000001</v>
      </c>
      <c r="E358" s="10">
        <v>959634.02899999998</v>
      </c>
      <c r="F358" s="10">
        <v>177165.527</v>
      </c>
      <c r="G358" s="8">
        <v>432</v>
      </c>
      <c r="H358" s="8">
        <v>256.5</v>
      </c>
      <c r="I358" s="8">
        <v>688.5</v>
      </c>
      <c r="J358" s="9">
        <v>45.02</v>
      </c>
      <c r="K358" s="9">
        <v>144.78</v>
      </c>
      <c r="L358" s="9">
        <v>60.56</v>
      </c>
      <c r="M358" s="9">
        <v>60.56</v>
      </c>
      <c r="N358">
        <v>84.42</v>
      </c>
      <c r="O358">
        <v>15.58</v>
      </c>
      <c r="P358">
        <v>36.6</v>
      </c>
      <c r="Q358">
        <v>64.900000000000006</v>
      </c>
    </row>
    <row r="359" spans="1:17" x14ac:dyDescent="0.2">
      <c r="A359" t="s">
        <v>414</v>
      </c>
      <c r="B359" t="s">
        <v>407</v>
      </c>
      <c r="C359">
        <v>2016</v>
      </c>
      <c r="D359" s="11">
        <v>1054369.71899999</v>
      </c>
      <c r="E359" s="11">
        <v>888786.67899999896</v>
      </c>
      <c r="F359" s="10">
        <v>165583.04000000001</v>
      </c>
      <c r="G359" s="8">
        <v>432</v>
      </c>
      <c r="H359" s="8">
        <v>174</v>
      </c>
      <c r="I359" s="8">
        <v>606</v>
      </c>
      <c r="J359" s="9">
        <v>48.61</v>
      </c>
      <c r="K359" s="9">
        <v>105.08</v>
      </c>
      <c r="L359" s="9">
        <v>57.48</v>
      </c>
      <c r="M359" s="9">
        <v>57.48</v>
      </c>
      <c r="N359">
        <v>84.3</v>
      </c>
      <c r="O359">
        <v>15.7</v>
      </c>
      <c r="P359">
        <v>35.9</v>
      </c>
      <c r="Q359">
        <v>72.8</v>
      </c>
    </row>
    <row r="360" spans="1:17" x14ac:dyDescent="0.2">
      <c r="A360" t="s">
        <v>415</v>
      </c>
      <c r="B360" t="s">
        <v>407</v>
      </c>
      <c r="C360">
        <v>2017</v>
      </c>
      <c r="D360" s="10">
        <v>1056138</v>
      </c>
      <c r="E360" s="10">
        <v>885994</v>
      </c>
      <c r="F360" s="10">
        <v>170144</v>
      </c>
      <c r="G360" s="8">
        <v>432</v>
      </c>
      <c r="H360" s="8">
        <v>214</v>
      </c>
      <c r="I360" s="8">
        <v>646</v>
      </c>
      <c r="J360" s="9">
        <v>48.76</v>
      </c>
      <c r="K360" s="9">
        <v>125.78</v>
      </c>
      <c r="L360" s="9">
        <v>61.17</v>
      </c>
      <c r="M360" s="9">
        <v>61.17</v>
      </c>
      <c r="N360">
        <v>83.89</v>
      </c>
      <c r="O360">
        <v>16.11</v>
      </c>
      <c r="P360">
        <v>29.9</v>
      </c>
    </row>
    <row r="361" spans="1:17" x14ac:dyDescent="0.2">
      <c r="A361" t="s">
        <v>416</v>
      </c>
      <c r="B361" t="s">
        <v>417</v>
      </c>
      <c r="C361">
        <v>2009</v>
      </c>
      <c r="D361" s="10">
        <v>4385826.75</v>
      </c>
      <c r="E361" s="10">
        <v>3810033.8420000002</v>
      </c>
      <c r="F361" s="10">
        <v>575792.90800000005</v>
      </c>
      <c r="G361" s="8">
        <v>445</v>
      </c>
      <c r="H361" s="8">
        <v>576</v>
      </c>
      <c r="I361" s="8">
        <v>1021</v>
      </c>
      <c r="J361" s="9">
        <v>11.68</v>
      </c>
      <c r="K361" s="9">
        <v>100.04</v>
      </c>
      <c r="L361" s="9">
        <v>23.28</v>
      </c>
      <c r="M361" s="9">
        <v>23.28</v>
      </c>
      <c r="N361">
        <v>86.87</v>
      </c>
      <c r="O361">
        <v>13.13</v>
      </c>
      <c r="Q361">
        <v>73.2</v>
      </c>
    </row>
    <row r="362" spans="1:17" x14ac:dyDescent="0.2">
      <c r="A362" t="s">
        <v>418</v>
      </c>
      <c r="B362" t="s">
        <v>417</v>
      </c>
      <c r="C362">
        <v>2010</v>
      </c>
      <c r="D362" s="10">
        <v>4816289.1610000003</v>
      </c>
      <c r="E362" s="10">
        <v>4177094.2370000002</v>
      </c>
      <c r="F362" s="10">
        <v>639194.924</v>
      </c>
      <c r="G362" s="8">
        <v>432</v>
      </c>
      <c r="H362" s="8">
        <v>607.5</v>
      </c>
      <c r="I362" s="8">
        <v>1039.5</v>
      </c>
      <c r="J362" s="9">
        <v>10.34</v>
      </c>
      <c r="K362" s="9">
        <v>95.04</v>
      </c>
      <c r="L362" s="9">
        <v>21.58</v>
      </c>
      <c r="M362" s="9">
        <v>21.58</v>
      </c>
      <c r="N362">
        <v>86.73</v>
      </c>
      <c r="O362">
        <v>13.27</v>
      </c>
      <c r="P362">
        <v>34.299999999999997</v>
      </c>
      <c r="Q362">
        <v>72</v>
      </c>
    </row>
    <row r="363" spans="1:17" x14ac:dyDescent="0.2">
      <c r="A363" t="s">
        <v>419</v>
      </c>
      <c r="B363" t="s">
        <v>417</v>
      </c>
      <c r="C363">
        <v>2011</v>
      </c>
      <c r="D363" s="10">
        <v>4484160.085</v>
      </c>
      <c r="E363" s="10">
        <v>3880041.4079999998</v>
      </c>
      <c r="F363" s="10">
        <v>604118.67700000003</v>
      </c>
      <c r="G363" s="8">
        <v>437.5</v>
      </c>
      <c r="H363" s="8">
        <v>618</v>
      </c>
      <c r="I363" s="8">
        <v>1055.5</v>
      </c>
      <c r="J363" s="9">
        <v>11.28</v>
      </c>
      <c r="K363" s="9">
        <v>102.3</v>
      </c>
      <c r="L363" s="9">
        <v>23.54</v>
      </c>
      <c r="M363" s="9">
        <v>23.54</v>
      </c>
      <c r="N363">
        <v>86.53</v>
      </c>
      <c r="O363">
        <v>13.47</v>
      </c>
      <c r="P363">
        <v>30</v>
      </c>
      <c r="Q363">
        <v>65.7</v>
      </c>
    </row>
    <row r="364" spans="1:17" x14ac:dyDescent="0.2">
      <c r="A364" t="s">
        <v>420</v>
      </c>
      <c r="B364" t="s">
        <v>417</v>
      </c>
      <c r="C364">
        <v>2012</v>
      </c>
      <c r="D364" s="10">
        <v>4634919.6689999998</v>
      </c>
      <c r="E364" s="10">
        <v>3993140.11</v>
      </c>
      <c r="F364" s="10">
        <v>641779.55900000001</v>
      </c>
      <c r="G364" s="8">
        <v>448</v>
      </c>
      <c r="H364" s="8">
        <v>573.5</v>
      </c>
      <c r="I364" s="8">
        <v>1021.5</v>
      </c>
      <c r="J364" s="9">
        <v>11.22</v>
      </c>
      <c r="K364" s="9">
        <v>89.36</v>
      </c>
      <c r="L364" s="9">
        <v>22.04</v>
      </c>
      <c r="M364" s="9">
        <v>22.04</v>
      </c>
      <c r="N364">
        <v>86.15</v>
      </c>
      <c r="O364">
        <v>13.85</v>
      </c>
      <c r="P364">
        <v>30.1</v>
      </c>
      <c r="Q364">
        <v>68.8</v>
      </c>
    </row>
    <row r="365" spans="1:17" x14ac:dyDescent="0.2">
      <c r="A365" t="s">
        <v>421</v>
      </c>
      <c r="B365" t="s">
        <v>417</v>
      </c>
      <c r="C365">
        <v>2013</v>
      </c>
      <c r="D365" s="10">
        <v>4643943.8849999998</v>
      </c>
      <c r="E365" s="10">
        <v>3984125.483</v>
      </c>
      <c r="F365" s="10">
        <v>659818.402</v>
      </c>
      <c r="G365" s="8">
        <v>444.5</v>
      </c>
      <c r="H365" s="8">
        <v>578</v>
      </c>
      <c r="I365" s="8">
        <v>1022.5</v>
      </c>
      <c r="J365" s="9">
        <v>11.16</v>
      </c>
      <c r="K365" s="9">
        <v>87.6</v>
      </c>
      <c r="L365" s="9">
        <v>22.02</v>
      </c>
      <c r="M365" s="9">
        <v>22.02</v>
      </c>
      <c r="N365">
        <v>85.79</v>
      </c>
      <c r="O365">
        <v>14.21</v>
      </c>
      <c r="P365">
        <v>27.1</v>
      </c>
      <c r="Q365">
        <v>67.400000000000006</v>
      </c>
    </row>
    <row r="366" spans="1:17" x14ac:dyDescent="0.2">
      <c r="A366" t="s">
        <v>422</v>
      </c>
      <c r="B366" t="s">
        <v>417</v>
      </c>
      <c r="C366">
        <v>2014</v>
      </c>
      <c r="D366" s="10">
        <v>4726438.3430000003</v>
      </c>
      <c r="E366" s="10">
        <v>4028025.9539999999</v>
      </c>
      <c r="F366" s="10">
        <v>698412.38899999997</v>
      </c>
      <c r="G366" s="8">
        <v>472</v>
      </c>
      <c r="H366" s="8">
        <v>544.5</v>
      </c>
      <c r="I366" s="8">
        <v>1016.5</v>
      </c>
      <c r="J366" s="9">
        <v>11.72</v>
      </c>
      <c r="K366" s="9">
        <v>77.959999999999994</v>
      </c>
      <c r="L366" s="9">
        <v>21.51</v>
      </c>
      <c r="M366" s="9">
        <v>21.51</v>
      </c>
      <c r="N366">
        <v>85.22</v>
      </c>
      <c r="O366">
        <v>14.78</v>
      </c>
      <c r="P366">
        <v>29.1</v>
      </c>
      <c r="Q366">
        <v>72</v>
      </c>
    </row>
    <row r="367" spans="1:17" x14ac:dyDescent="0.2">
      <c r="A367" t="s">
        <v>423</v>
      </c>
      <c r="B367" t="s">
        <v>417</v>
      </c>
      <c r="C367">
        <v>2015</v>
      </c>
      <c r="D367" s="10">
        <v>4631761.9670000002</v>
      </c>
      <c r="E367" s="10">
        <v>3926476.7889999999</v>
      </c>
      <c r="F367" s="10">
        <v>705285.17799999996</v>
      </c>
      <c r="G367" s="8">
        <v>452.5</v>
      </c>
      <c r="H367" s="8">
        <v>683</v>
      </c>
      <c r="I367" s="8">
        <v>1135.5</v>
      </c>
      <c r="J367" s="9">
        <v>11.52</v>
      </c>
      <c r="K367" s="9">
        <v>96.84</v>
      </c>
      <c r="L367" s="9">
        <v>24.52</v>
      </c>
      <c r="M367" s="9">
        <v>24.52</v>
      </c>
      <c r="N367">
        <v>84.77</v>
      </c>
      <c r="O367">
        <v>15.23</v>
      </c>
      <c r="P367">
        <v>28.5</v>
      </c>
      <c r="Q367">
        <v>68.7</v>
      </c>
    </row>
    <row r="368" spans="1:17" x14ac:dyDescent="0.2">
      <c r="A368" t="s">
        <v>424</v>
      </c>
      <c r="B368" t="s">
        <v>417</v>
      </c>
      <c r="C368">
        <v>2016</v>
      </c>
      <c r="D368" s="10">
        <v>4925483.5860000001</v>
      </c>
      <c r="E368" s="10">
        <v>4138667.0950000002</v>
      </c>
      <c r="F368" s="10">
        <v>786816.49100000004</v>
      </c>
      <c r="G368" s="8">
        <v>463.5</v>
      </c>
      <c r="H368" s="8">
        <v>510.5</v>
      </c>
      <c r="I368" s="8">
        <v>974</v>
      </c>
      <c r="J368" s="9">
        <v>11.2</v>
      </c>
      <c r="K368" s="9">
        <v>64.88</v>
      </c>
      <c r="L368" s="9">
        <v>19.77</v>
      </c>
      <c r="M368" s="9">
        <v>19.77</v>
      </c>
      <c r="N368">
        <v>84.03</v>
      </c>
      <c r="O368">
        <v>15.97</v>
      </c>
      <c r="P368">
        <v>28</v>
      </c>
      <c r="Q368">
        <v>69.900000000000006</v>
      </c>
    </row>
    <row r="369" spans="1:17" x14ac:dyDescent="0.2">
      <c r="A369" t="s">
        <v>425</v>
      </c>
      <c r="B369" t="s">
        <v>417</v>
      </c>
      <c r="C369">
        <v>2017</v>
      </c>
      <c r="D369" s="10">
        <v>4822234</v>
      </c>
      <c r="E369" s="10">
        <v>4041857</v>
      </c>
      <c r="F369" s="10">
        <v>780377</v>
      </c>
      <c r="G369" s="8">
        <v>449.5</v>
      </c>
      <c r="H369" s="8">
        <v>566</v>
      </c>
      <c r="I369" s="8">
        <v>1015.5</v>
      </c>
      <c r="J369" s="9">
        <v>11.12</v>
      </c>
      <c r="K369" s="9">
        <v>72.53</v>
      </c>
      <c r="L369" s="9">
        <v>21.06</v>
      </c>
      <c r="M369" s="9">
        <v>21.06</v>
      </c>
      <c r="N369">
        <v>83.82</v>
      </c>
      <c r="O369">
        <v>16.18</v>
      </c>
      <c r="P369">
        <v>25.4</v>
      </c>
    </row>
    <row r="370" spans="1:17" x14ac:dyDescent="0.2">
      <c r="A370" t="s">
        <v>426</v>
      </c>
      <c r="B370" t="s">
        <v>427</v>
      </c>
      <c r="C370">
        <v>2009</v>
      </c>
      <c r="D370" s="10">
        <v>787163.02399999998</v>
      </c>
      <c r="E370" s="10">
        <v>674255.81299999997</v>
      </c>
      <c r="F370" s="10">
        <v>112907.211</v>
      </c>
      <c r="G370" s="8">
        <v>432</v>
      </c>
      <c r="H370" s="8">
        <v>178.5</v>
      </c>
      <c r="I370" s="8">
        <v>610.5</v>
      </c>
      <c r="J370" s="9">
        <v>64.069999999999993</v>
      </c>
      <c r="K370" s="9">
        <v>158.09</v>
      </c>
      <c r="L370" s="9">
        <v>77.56</v>
      </c>
      <c r="M370" s="9">
        <v>77.56</v>
      </c>
      <c r="N370">
        <v>85.66</v>
      </c>
      <c r="O370">
        <v>14.34</v>
      </c>
      <c r="Q370">
        <v>77.099999999999994</v>
      </c>
    </row>
    <row r="371" spans="1:17" x14ac:dyDescent="0.2">
      <c r="A371" t="s">
        <v>428</v>
      </c>
      <c r="B371" t="s">
        <v>427</v>
      </c>
      <c r="C371">
        <v>2010</v>
      </c>
      <c r="D371" s="10">
        <v>741602.47600000002</v>
      </c>
      <c r="E371" s="10">
        <v>637016.44799999997</v>
      </c>
      <c r="F371" s="10">
        <v>104586.02800000001</v>
      </c>
      <c r="G371" s="8">
        <v>432</v>
      </c>
      <c r="H371" s="8">
        <v>191</v>
      </c>
      <c r="I371" s="8">
        <v>623</v>
      </c>
      <c r="J371" s="9">
        <v>67.819999999999993</v>
      </c>
      <c r="K371" s="9">
        <v>182.62</v>
      </c>
      <c r="L371" s="9">
        <v>84.01</v>
      </c>
      <c r="M371" s="9">
        <v>84.01</v>
      </c>
      <c r="N371">
        <v>85.9</v>
      </c>
      <c r="O371">
        <v>14.1</v>
      </c>
      <c r="P371">
        <v>48.2</v>
      </c>
      <c r="Q371">
        <v>73</v>
      </c>
    </row>
    <row r="372" spans="1:17" x14ac:dyDescent="0.2">
      <c r="A372" t="s">
        <v>429</v>
      </c>
      <c r="B372" t="s">
        <v>427</v>
      </c>
      <c r="C372">
        <v>2011</v>
      </c>
      <c r="D372" s="10">
        <v>848039.94299999997</v>
      </c>
      <c r="E372" s="10">
        <v>728504.08299999998</v>
      </c>
      <c r="F372" s="10">
        <v>119535.86</v>
      </c>
      <c r="G372" s="8">
        <v>432</v>
      </c>
      <c r="H372" s="8">
        <v>188.5</v>
      </c>
      <c r="I372" s="8">
        <v>620.5</v>
      </c>
      <c r="J372" s="9">
        <v>59.3</v>
      </c>
      <c r="K372" s="9">
        <v>157.69</v>
      </c>
      <c r="L372" s="9">
        <v>73.17</v>
      </c>
      <c r="M372" s="9">
        <v>73.17</v>
      </c>
      <c r="N372">
        <v>85.9</v>
      </c>
      <c r="O372">
        <v>14.1</v>
      </c>
      <c r="P372">
        <v>43.1</v>
      </c>
      <c r="Q372">
        <v>71</v>
      </c>
    </row>
    <row r="373" spans="1:17" x14ac:dyDescent="0.2">
      <c r="A373" t="s">
        <v>430</v>
      </c>
      <c r="B373" t="s">
        <v>427</v>
      </c>
      <c r="C373">
        <v>2012</v>
      </c>
      <c r="D373" s="10">
        <v>798678.92200000002</v>
      </c>
      <c r="E373" s="10">
        <v>680070.87600000005</v>
      </c>
      <c r="F373" s="10">
        <v>118608.046</v>
      </c>
      <c r="G373" s="8">
        <v>432</v>
      </c>
      <c r="H373" s="8">
        <v>209.5</v>
      </c>
      <c r="I373" s="8">
        <v>641.5</v>
      </c>
      <c r="J373" s="9">
        <v>63.52</v>
      </c>
      <c r="K373" s="9">
        <v>176.63</v>
      </c>
      <c r="L373" s="9">
        <v>80.319999999999993</v>
      </c>
      <c r="M373" s="9">
        <v>80.319999999999993</v>
      </c>
      <c r="N373">
        <v>85.15</v>
      </c>
      <c r="O373">
        <v>14.85</v>
      </c>
      <c r="P373">
        <v>43.5</v>
      </c>
      <c r="Q373">
        <v>73.8</v>
      </c>
    </row>
    <row r="374" spans="1:17" x14ac:dyDescent="0.2">
      <c r="A374" t="s">
        <v>431</v>
      </c>
      <c r="B374" t="s">
        <v>427</v>
      </c>
      <c r="C374">
        <v>2013</v>
      </c>
      <c r="D374" s="10">
        <v>773474.31900000002</v>
      </c>
      <c r="E374" s="10">
        <v>657098.84900000005</v>
      </c>
      <c r="F374" s="10">
        <v>116375.47</v>
      </c>
      <c r="G374" s="8">
        <v>432</v>
      </c>
      <c r="H374" s="8">
        <v>211</v>
      </c>
      <c r="I374" s="8">
        <v>643</v>
      </c>
      <c r="J374" s="9">
        <v>65.739999999999995</v>
      </c>
      <c r="K374" s="9">
        <v>181.31</v>
      </c>
      <c r="L374" s="9">
        <v>83.13</v>
      </c>
      <c r="M374" s="9">
        <v>83.13</v>
      </c>
      <c r="N374">
        <v>84.95</v>
      </c>
      <c r="O374">
        <v>15.05</v>
      </c>
      <c r="P374">
        <v>42</v>
      </c>
      <c r="Q374">
        <v>72.8</v>
      </c>
    </row>
    <row r="375" spans="1:17" x14ac:dyDescent="0.2">
      <c r="A375" t="s">
        <v>432</v>
      </c>
      <c r="B375" t="s">
        <v>427</v>
      </c>
      <c r="C375">
        <v>2014</v>
      </c>
      <c r="D375" s="10">
        <v>711521.49300000002</v>
      </c>
      <c r="E375" s="10">
        <v>604791.277</v>
      </c>
      <c r="F375" s="10">
        <v>106730.216</v>
      </c>
      <c r="G375" s="8">
        <v>432</v>
      </c>
      <c r="H375" s="8">
        <v>204</v>
      </c>
      <c r="I375" s="8">
        <v>636</v>
      </c>
      <c r="J375" s="9">
        <v>71.430000000000007</v>
      </c>
      <c r="K375" s="9">
        <v>191.14</v>
      </c>
      <c r="L375" s="9">
        <v>89.39</v>
      </c>
      <c r="M375" s="9">
        <v>89.39</v>
      </c>
      <c r="N375">
        <v>85</v>
      </c>
      <c r="O375">
        <v>15</v>
      </c>
      <c r="P375">
        <v>45.7</v>
      </c>
      <c r="Q375">
        <v>74.900000000000006</v>
      </c>
    </row>
    <row r="376" spans="1:17" x14ac:dyDescent="0.2">
      <c r="A376" t="s">
        <v>433</v>
      </c>
      <c r="B376" t="s">
        <v>427</v>
      </c>
      <c r="C376">
        <v>2015</v>
      </c>
      <c r="D376" s="10">
        <v>657550.22699999996</v>
      </c>
      <c r="E376" s="10">
        <v>555207.06900000002</v>
      </c>
      <c r="F376" s="10">
        <v>102343.158</v>
      </c>
      <c r="G376" s="8">
        <v>432</v>
      </c>
      <c r="H376" s="8">
        <v>221.5</v>
      </c>
      <c r="I376" s="8">
        <v>653.5</v>
      </c>
      <c r="J376" s="9">
        <v>77.81</v>
      </c>
      <c r="K376" s="9">
        <v>216.43</v>
      </c>
      <c r="L376" s="9">
        <v>99.38</v>
      </c>
      <c r="M376" s="9">
        <v>99.38</v>
      </c>
      <c r="N376">
        <v>84.44</v>
      </c>
      <c r="O376">
        <v>15.56</v>
      </c>
      <c r="P376">
        <v>38.9</v>
      </c>
      <c r="Q376">
        <v>76.8</v>
      </c>
    </row>
    <row r="377" spans="1:17" x14ac:dyDescent="0.2">
      <c r="A377" t="s">
        <v>434</v>
      </c>
      <c r="B377" t="s">
        <v>427</v>
      </c>
      <c r="C377">
        <v>2016</v>
      </c>
      <c r="D377" s="11">
        <v>768105.620999999</v>
      </c>
      <c r="E377" s="10">
        <v>650984.90099999995</v>
      </c>
      <c r="F377" s="10">
        <v>117120.72</v>
      </c>
      <c r="G377" s="8">
        <v>432</v>
      </c>
      <c r="H377" s="8">
        <v>205</v>
      </c>
      <c r="I377" s="8">
        <v>637</v>
      </c>
      <c r="J377" s="9">
        <v>66.36</v>
      </c>
      <c r="K377" s="9">
        <v>175.03</v>
      </c>
      <c r="L377" s="9">
        <v>82.93</v>
      </c>
      <c r="M377" s="9">
        <v>82.93</v>
      </c>
      <c r="N377">
        <v>84.75</v>
      </c>
      <c r="O377">
        <v>15.25</v>
      </c>
      <c r="P377">
        <v>39.1</v>
      </c>
      <c r="Q377">
        <v>70.900000000000006</v>
      </c>
    </row>
    <row r="378" spans="1:17" x14ac:dyDescent="0.2">
      <c r="A378" t="s">
        <v>435</v>
      </c>
      <c r="B378" t="s">
        <v>427</v>
      </c>
      <c r="C378">
        <v>2017</v>
      </c>
      <c r="D378" s="10">
        <v>892703</v>
      </c>
      <c r="E378" s="10">
        <v>751124</v>
      </c>
      <c r="F378" s="10">
        <v>141579</v>
      </c>
      <c r="G378" s="8">
        <v>432</v>
      </c>
      <c r="H378" s="8">
        <v>203.5</v>
      </c>
      <c r="I378" s="8">
        <v>635.5</v>
      </c>
      <c r="J378" s="9">
        <v>57.51</v>
      </c>
      <c r="K378" s="9">
        <v>143.74</v>
      </c>
      <c r="L378" s="9">
        <v>71.19</v>
      </c>
      <c r="M378" s="9">
        <v>71.19</v>
      </c>
      <c r="N378">
        <v>84.14</v>
      </c>
      <c r="O378">
        <v>15.86</v>
      </c>
      <c r="P378">
        <v>30.5</v>
      </c>
    </row>
    <row r="379" spans="1:17" x14ac:dyDescent="0.2">
      <c r="A379" t="s">
        <v>436</v>
      </c>
      <c r="B379" t="s">
        <v>437</v>
      </c>
      <c r="C379">
        <v>2009</v>
      </c>
      <c r="D379" s="10">
        <v>6056593.9979999997</v>
      </c>
      <c r="E379" s="10">
        <v>5273050.5480000004</v>
      </c>
      <c r="F379" s="10">
        <v>783543.45</v>
      </c>
      <c r="G379" s="8">
        <v>511.5</v>
      </c>
      <c r="H379" s="8">
        <v>1096</v>
      </c>
      <c r="I379" s="8">
        <v>1607.5</v>
      </c>
      <c r="J379" s="9">
        <v>9.6999999999999993</v>
      </c>
      <c r="K379" s="9">
        <v>139.88</v>
      </c>
      <c r="L379" s="9">
        <v>26.54</v>
      </c>
      <c r="M379" s="9">
        <v>26.54</v>
      </c>
      <c r="N379">
        <v>87.06</v>
      </c>
      <c r="O379">
        <v>12.94</v>
      </c>
      <c r="Q379">
        <v>72</v>
      </c>
    </row>
    <row r="380" spans="1:17" x14ac:dyDescent="0.2">
      <c r="A380" t="s">
        <v>438</v>
      </c>
      <c r="B380" t="s">
        <v>437</v>
      </c>
      <c r="C380">
        <v>2010</v>
      </c>
      <c r="D380" s="10">
        <v>6268705.7510000002</v>
      </c>
      <c r="E380" s="10">
        <v>5448611.767</v>
      </c>
      <c r="F380" s="11">
        <v>820093.98399999901</v>
      </c>
      <c r="G380" s="8">
        <v>501.5</v>
      </c>
      <c r="H380" s="8">
        <v>1117</v>
      </c>
      <c r="I380" s="8">
        <v>1618.5</v>
      </c>
      <c r="J380" s="9">
        <v>9.1999999999999993</v>
      </c>
      <c r="K380" s="9">
        <v>136.19999999999999</v>
      </c>
      <c r="L380" s="9">
        <v>25.82</v>
      </c>
      <c r="M380" s="9">
        <v>25.82</v>
      </c>
      <c r="N380">
        <v>86.92</v>
      </c>
      <c r="O380">
        <v>13.08</v>
      </c>
      <c r="P380">
        <v>37.9</v>
      </c>
      <c r="Q380">
        <v>74.5</v>
      </c>
    </row>
    <row r="381" spans="1:17" x14ac:dyDescent="0.2">
      <c r="A381" t="s">
        <v>439</v>
      </c>
      <c r="B381" t="s">
        <v>437</v>
      </c>
      <c r="C381">
        <v>2011</v>
      </c>
      <c r="D381" s="10">
        <v>6340944.2630000003</v>
      </c>
      <c r="E381" s="10">
        <v>5499893.1050000004</v>
      </c>
      <c r="F381" s="10">
        <v>841051.15800000005</v>
      </c>
      <c r="G381" s="8">
        <v>510</v>
      </c>
      <c r="H381" s="8">
        <v>1192</v>
      </c>
      <c r="I381" s="8">
        <v>1702</v>
      </c>
      <c r="J381" s="9">
        <v>9.27</v>
      </c>
      <c r="K381" s="9">
        <v>141.72999999999999</v>
      </c>
      <c r="L381" s="9">
        <v>26.84</v>
      </c>
      <c r="M381" s="9">
        <v>26.84</v>
      </c>
      <c r="N381">
        <v>86.74</v>
      </c>
      <c r="O381">
        <v>13.26</v>
      </c>
      <c r="P381">
        <v>36</v>
      </c>
      <c r="Q381">
        <v>74.599999999999994</v>
      </c>
    </row>
    <row r="382" spans="1:17" x14ac:dyDescent="0.2">
      <c r="A382" t="s">
        <v>440</v>
      </c>
      <c r="B382" t="s">
        <v>437</v>
      </c>
      <c r="C382">
        <v>2012</v>
      </c>
      <c r="D382" s="10">
        <v>6333740.307</v>
      </c>
      <c r="E382" s="10">
        <v>5478639.1390000004</v>
      </c>
      <c r="F382" s="10">
        <v>855101.16799999995</v>
      </c>
      <c r="G382" s="8">
        <v>492.5</v>
      </c>
      <c r="H382" s="8">
        <v>1200.5</v>
      </c>
      <c r="I382" s="8">
        <v>1693</v>
      </c>
      <c r="J382" s="9">
        <v>8.99</v>
      </c>
      <c r="K382" s="9">
        <v>140.38999999999999</v>
      </c>
      <c r="L382" s="9">
        <v>26.73</v>
      </c>
      <c r="M382" s="9">
        <v>26.73</v>
      </c>
      <c r="N382">
        <v>86.5</v>
      </c>
      <c r="O382">
        <v>13.5</v>
      </c>
      <c r="P382">
        <v>38.6</v>
      </c>
      <c r="Q382">
        <v>78</v>
      </c>
    </row>
    <row r="383" spans="1:17" x14ac:dyDescent="0.2">
      <c r="A383" t="s">
        <v>441</v>
      </c>
      <c r="B383" t="s">
        <v>437</v>
      </c>
      <c r="C383">
        <v>2013</v>
      </c>
      <c r="D383" s="10">
        <v>6185033.1390000004</v>
      </c>
      <c r="E383" s="10">
        <v>5333662.03</v>
      </c>
      <c r="F383" s="10">
        <v>851371.10900000005</v>
      </c>
      <c r="G383" s="8">
        <v>553.5</v>
      </c>
      <c r="H383" s="8">
        <v>1259.5</v>
      </c>
      <c r="I383" s="8">
        <v>1813</v>
      </c>
      <c r="J383" s="9">
        <v>10.38</v>
      </c>
      <c r="K383" s="9">
        <v>147.94</v>
      </c>
      <c r="L383" s="9">
        <v>29.31</v>
      </c>
      <c r="M383" s="9">
        <v>29.31</v>
      </c>
      <c r="N383">
        <v>86.23</v>
      </c>
      <c r="O383">
        <v>13.77</v>
      </c>
      <c r="P383">
        <v>35.6</v>
      </c>
      <c r="Q383">
        <v>73.3</v>
      </c>
    </row>
    <row r="384" spans="1:17" x14ac:dyDescent="0.2">
      <c r="A384" t="s">
        <v>442</v>
      </c>
      <c r="B384" t="s">
        <v>437</v>
      </c>
      <c r="C384">
        <v>2014</v>
      </c>
      <c r="D384" s="10">
        <v>6514839.2680000002</v>
      </c>
      <c r="E384" s="10">
        <v>5573486.1720000003</v>
      </c>
      <c r="F384" s="10">
        <v>941353.09600000002</v>
      </c>
      <c r="G384" s="8">
        <v>606</v>
      </c>
      <c r="H384" s="8">
        <v>1248</v>
      </c>
      <c r="I384" s="8">
        <v>1854</v>
      </c>
      <c r="J384" s="9">
        <v>10.87</v>
      </c>
      <c r="K384" s="9">
        <v>132.58000000000001</v>
      </c>
      <c r="L384" s="9">
        <v>28.46</v>
      </c>
      <c r="M384" s="9">
        <v>28.46</v>
      </c>
      <c r="N384">
        <v>85.55</v>
      </c>
      <c r="O384">
        <v>14.45</v>
      </c>
      <c r="P384">
        <v>33</v>
      </c>
      <c r="Q384">
        <v>67.900000000000006</v>
      </c>
    </row>
    <row r="385" spans="1:17" x14ac:dyDescent="0.2">
      <c r="A385" t="s">
        <v>443</v>
      </c>
      <c r="B385" t="s">
        <v>437</v>
      </c>
      <c r="C385">
        <v>2015</v>
      </c>
      <c r="D385" s="10">
        <v>6467147.1449999996</v>
      </c>
      <c r="E385" s="10">
        <v>5523778.5659999996</v>
      </c>
      <c r="F385" s="10">
        <v>943368.57900000003</v>
      </c>
      <c r="G385" s="8">
        <v>512.5</v>
      </c>
      <c r="H385" s="8">
        <v>1438</v>
      </c>
      <c r="I385" s="8">
        <v>1950.5</v>
      </c>
      <c r="J385" s="9">
        <v>9.2799999999999994</v>
      </c>
      <c r="K385" s="9">
        <v>152.43</v>
      </c>
      <c r="L385" s="9">
        <v>30.16</v>
      </c>
      <c r="M385" s="9">
        <v>30.16</v>
      </c>
      <c r="N385">
        <v>85.41</v>
      </c>
      <c r="O385">
        <v>14.59</v>
      </c>
      <c r="P385">
        <v>28.6</v>
      </c>
      <c r="Q385">
        <v>61.1</v>
      </c>
    </row>
    <row r="386" spans="1:17" x14ac:dyDescent="0.2">
      <c r="A386" t="s">
        <v>444</v>
      </c>
      <c r="B386" t="s">
        <v>437</v>
      </c>
      <c r="C386">
        <v>2016</v>
      </c>
      <c r="D386" s="11">
        <v>6350731.4849999901</v>
      </c>
      <c r="E386" s="10">
        <v>5401991.0219999999</v>
      </c>
      <c r="F386" s="10">
        <v>948740.46299999999</v>
      </c>
      <c r="G386" s="8">
        <v>584</v>
      </c>
      <c r="H386" s="8">
        <v>1212</v>
      </c>
      <c r="I386" s="8">
        <v>1796</v>
      </c>
      <c r="J386" s="9">
        <v>10.81</v>
      </c>
      <c r="K386" s="9">
        <v>127.75</v>
      </c>
      <c r="L386" s="9">
        <v>28.28</v>
      </c>
      <c r="M386" s="9">
        <v>28.28</v>
      </c>
      <c r="N386">
        <v>85.06</v>
      </c>
      <c r="O386">
        <v>14.94</v>
      </c>
      <c r="P386">
        <v>28.4</v>
      </c>
      <c r="Q386">
        <v>61.4</v>
      </c>
    </row>
    <row r="387" spans="1:17" x14ac:dyDescent="0.2">
      <c r="A387" t="s">
        <v>445</v>
      </c>
      <c r="B387" t="s">
        <v>437</v>
      </c>
      <c r="C387">
        <v>2017</v>
      </c>
      <c r="D387" s="10">
        <v>6889819</v>
      </c>
      <c r="E387" s="10">
        <v>5830419</v>
      </c>
      <c r="F387" s="10">
        <v>1059400</v>
      </c>
      <c r="G387" s="8">
        <v>574</v>
      </c>
      <c r="H387" s="8">
        <v>1321</v>
      </c>
      <c r="I387" s="8">
        <v>1895</v>
      </c>
      <c r="J387" s="9">
        <v>9.84</v>
      </c>
      <c r="K387" s="9">
        <v>124.69</v>
      </c>
      <c r="L387" s="9">
        <v>27.5</v>
      </c>
      <c r="M387" s="9">
        <v>27.5</v>
      </c>
      <c r="N387">
        <v>84.62</v>
      </c>
      <c r="O387">
        <v>15.38</v>
      </c>
      <c r="P387">
        <v>17.8</v>
      </c>
    </row>
    <row r="388" spans="1:17" x14ac:dyDescent="0.2">
      <c r="A388" t="s">
        <v>446</v>
      </c>
      <c r="B388" t="s">
        <v>447</v>
      </c>
      <c r="C388">
        <v>2009</v>
      </c>
      <c r="D388" s="10">
        <v>23733243.067000002</v>
      </c>
      <c r="E388" s="10">
        <v>21345772.894000001</v>
      </c>
      <c r="F388" s="10">
        <v>2387470.173</v>
      </c>
      <c r="G388" s="8">
        <v>953</v>
      </c>
      <c r="H388" s="8">
        <v>2512</v>
      </c>
      <c r="I388" s="8">
        <v>3465</v>
      </c>
      <c r="J388" s="9">
        <v>4.46</v>
      </c>
      <c r="K388" s="9">
        <v>105.22</v>
      </c>
      <c r="L388" s="9">
        <v>14.6</v>
      </c>
      <c r="M388" s="9">
        <v>14.6</v>
      </c>
      <c r="N388">
        <v>89.94</v>
      </c>
      <c r="O388">
        <v>10.06</v>
      </c>
      <c r="Q388">
        <v>74.099999999999994</v>
      </c>
    </row>
    <row r="389" spans="1:17" x14ac:dyDescent="0.2">
      <c r="A389" t="s">
        <v>448</v>
      </c>
      <c r="B389" t="s">
        <v>447</v>
      </c>
      <c r="C389">
        <v>2010</v>
      </c>
      <c r="D389" s="10">
        <v>24175142.102000002</v>
      </c>
      <c r="E389" s="10">
        <v>21722938.109999999</v>
      </c>
      <c r="F389" s="10">
        <v>2452203.9920000001</v>
      </c>
      <c r="G389" s="8">
        <v>752</v>
      </c>
      <c r="H389" s="8">
        <v>2435</v>
      </c>
      <c r="I389" s="8">
        <v>3187</v>
      </c>
      <c r="J389" s="9">
        <v>3.46</v>
      </c>
      <c r="K389" s="9">
        <v>99.3</v>
      </c>
      <c r="L389" s="9">
        <v>13.18</v>
      </c>
      <c r="M389" s="9">
        <v>13.18</v>
      </c>
      <c r="N389">
        <v>89.86</v>
      </c>
      <c r="O389">
        <v>10.14</v>
      </c>
      <c r="P389">
        <v>33.1</v>
      </c>
      <c r="Q389">
        <v>68</v>
      </c>
    </row>
    <row r="390" spans="1:17" x14ac:dyDescent="0.2">
      <c r="A390" t="s">
        <v>449</v>
      </c>
      <c r="B390" t="s">
        <v>447</v>
      </c>
      <c r="C390">
        <v>2011</v>
      </c>
      <c r="D390" s="10">
        <v>24815093.021000002</v>
      </c>
      <c r="E390" s="10">
        <v>22261168.467</v>
      </c>
      <c r="F390" s="10">
        <v>2553924.554</v>
      </c>
      <c r="G390" s="8">
        <v>746</v>
      </c>
      <c r="H390" s="8">
        <v>2473</v>
      </c>
      <c r="I390" s="8">
        <v>3219</v>
      </c>
      <c r="J390" s="9">
        <v>3.35</v>
      </c>
      <c r="K390" s="9">
        <v>96.83</v>
      </c>
      <c r="L390" s="9">
        <v>12.97</v>
      </c>
      <c r="M390" s="9">
        <v>12.97</v>
      </c>
      <c r="N390">
        <v>89.71</v>
      </c>
      <c r="O390">
        <v>10.29</v>
      </c>
      <c r="P390">
        <v>27.5</v>
      </c>
      <c r="Q390">
        <v>65.099999999999994</v>
      </c>
    </row>
    <row r="391" spans="1:17" x14ac:dyDescent="0.2">
      <c r="A391" t="s">
        <v>450</v>
      </c>
      <c r="B391" t="s">
        <v>447</v>
      </c>
      <c r="C391">
        <v>2012</v>
      </c>
      <c r="D391" s="10">
        <v>25040174.078000002</v>
      </c>
      <c r="E391" s="10">
        <v>22418314.243999999</v>
      </c>
      <c r="F391" s="10">
        <v>2621859.8339999998</v>
      </c>
      <c r="G391" s="8">
        <v>722</v>
      </c>
      <c r="H391" s="8">
        <v>2435</v>
      </c>
      <c r="I391" s="8">
        <v>3157</v>
      </c>
      <c r="J391" s="9">
        <v>3.22</v>
      </c>
      <c r="K391" s="9">
        <v>92.87</v>
      </c>
      <c r="L391" s="9">
        <v>12.61</v>
      </c>
      <c r="M391" s="9">
        <v>12.61</v>
      </c>
      <c r="N391">
        <v>89.53</v>
      </c>
      <c r="O391">
        <v>10.47</v>
      </c>
      <c r="P391">
        <v>28.9</v>
      </c>
      <c r="Q391">
        <v>67.900000000000006</v>
      </c>
    </row>
    <row r="392" spans="1:17" x14ac:dyDescent="0.2">
      <c r="A392" t="s">
        <v>451</v>
      </c>
      <c r="B392" t="s">
        <v>447</v>
      </c>
      <c r="C392">
        <v>2013</v>
      </c>
      <c r="D392" s="10">
        <v>25680853.138</v>
      </c>
      <c r="E392" s="10">
        <v>22931124.396000002</v>
      </c>
      <c r="F392" s="10">
        <v>2749728.7420000001</v>
      </c>
      <c r="G392" s="8">
        <v>915.5</v>
      </c>
      <c r="H392" s="8">
        <v>2608</v>
      </c>
      <c r="I392" s="8">
        <v>3523.5</v>
      </c>
      <c r="J392" s="9">
        <v>3.99</v>
      </c>
      <c r="K392" s="9">
        <v>94.85</v>
      </c>
      <c r="L392" s="9">
        <v>13.72</v>
      </c>
      <c r="M392" s="9">
        <v>13.72</v>
      </c>
      <c r="N392">
        <v>89.29</v>
      </c>
      <c r="O392">
        <v>10.71</v>
      </c>
      <c r="P392">
        <v>27.1</v>
      </c>
      <c r="Q392">
        <v>63.4</v>
      </c>
    </row>
    <row r="393" spans="1:17" x14ac:dyDescent="0.2">
      <c r="A393" t="s">
        <v>452</v>
      </c>
      <c r="B393" t="s">
        <v>447</v>
      </c>
      <c r="C393">
        <v>2014</v>
      </c>
      <c r="D393" s="10">
        <v>26018865.778999999</v>
      </c>
      <c r="E393" s="10">
        <v>23179467.25</v>
      </c>
      <c r="F393" s="10">
        <v>2839398.5290000001</v>
      </c>
      <c r="G393" s="8">
        <v>1074</v>
      </c>
      <c r="H393" s="8">
        <v>2552</v>
      </c>
      <c r="I393" s="8">
        <v>3626</v>
      </c>
      <c r="J393" s="9">
        <v>4.63</v>
      </c>
      <c r="K393" s="9">
        <v>89.88</v>
      </c>
      <c r="L393" s="9">
        <v>13.94</v>
      </c>
      <c r="M393" s="9">
        <v>13.94</v>
      </c>
      <c r="N393">
        <v>89.09</v>
      </c>
      <c r="O393">
        <v>10.91</v>
      </c>
      <c r="P393">
        <v>30.6</v>
      </c>
      <c r="Q393">
        <v>72.3</v>
      </c>
    </row>
    <row r="394" spans="1:17" x14ac:dyDescent="0.2">
      <c r="A394" t="s">
        <v>453</v>
      </c>
      <c r="B394" t="s">
        <v>447</v>
      </c>
      <c r="C394">
        <v>2015</v>
      </c>
      <c r="D394" s="10">
        <v>26063205.322000001</v>
      </c>
      <c r="E394" s="10">
        <v>23152747.535</v>
      </c>
      <c r="F394" s="10">
        <v>2910457.787</v>
      </c>
      <c r="G394" s="8">
        <v>814.5</v>
      </c>
      <c r="H394" s="8">
        <v>2575</v>
      </c>
      <c r="I394" s="8">
        <v>3389.5</v>
      </c>
      <c r="J394" s="9">
        <v>3.52</v>
      </c>
      <c r="K394" s="9">
        <v>88.47</v>
      </c>
      <c r="L394" s="9">
        <v>13</v>
      </c>
      <c r="M394" s="9">
        <v>13</v>
      </c>
      <c r="N394">
        <v>88.83</v>
      </c>
      <c r="O394">
        <v>11.17</v>
      </c>
      <c r="P394">
        <v>30</v>
      </c>
      <c r="Q394">
        <v>65.099999999999994</v>
      </c>
    </row>
    <row r="395" spans="1:17" x14ac:dyDescent="0.2">
      <c r="A395" t="s">
        <v>454</v>
      </c>
      <c r="B395" t="s">
        <v>447</v>
      </c>
      <c r="C395">
        <v>2016</v>
      </c>
      <c r="D395" s="10">
        <v>26544413.364999998</v>
      </c>
      <c r="E395" s="10">
        <v>23495362.302999999</v>
      </c>
      <c r="F395" s="10">
        <v>3049051.0619999999</v>
      </c>
      <c r="G395" s="8">
        <v>776</v>
      </c>
      <c r="H395" s="8">
        <v>2260</v>
      </c>
      <c r="I395" s="8">
        <v>3036</v>
      </c>
      <c r="J395" s="9">
        <v>3.3</v>
      </c>
      <c r="K395" s="9">
        <v>74.12</v>
      </c>
      <c r="L395" s="9">
        <v>11.44</v>
      </c>
      <c r="M395" s="9">
        <v>11.44</v>
      </c>
      <c r="N395">
        <v>88.51</v>
      </c>
      <c r="O395">
        <v>11.49</v>
      </c>
      <c r="P395">
        <v>25.7</v>
      </c>
      <c r="Q395">
        <v>62.1</v>
      </c>
    </row>
    <row r="396" spans="1:17" x14ac:dyDescent="0.2">
      <c r="A396" t="s">
        <v>455</v>
      </c>
      <c r="B396" t="s">
        <v>447</v>
      </c>
      <c r="C396">
        <v>2017</v>
      </c>
      <c r="D396" s="10">
        <v>27167870</v>
      </c>
      <c r="E396" s="10">
        <v>23960848</v>
      </c>
      <c r="F396" s="10">
        <v>3207022</v>
      </c>
      <c r="G396" s="8">
        <v>827</v>
      </c>
      <c r="H396" s="8">
        <v>2290</v>
      </c>
      <c r="I396" s="8">
        <v>3117</v>
      </c>
      <c r="J396" s="9">
        <v>3.45</v>
      </c>
      <c r="K396" s="9">
        <v>71.41</v>
      </c>
      <c r="L396" s="9">
        <v>11.47</v>
      </c>
      <c r="M396" s="9">
        <v>11.47</v>
      </c>
      <c r="N396">
        <v>88.2</v>
      </c>
      <c r="O396">
        <v>11.8</v>
      </c>
      <c r="P396">
        <v>21</v>
      </c>
    </row>
    <row r="397" spans="1:17" x14ac:dyDescent="0.2">
      <c r="A397" t="s">
        <v>456</v>
      </c>
      <c r="B397" t="s">
        <v>457</v>
      </c>
      <c r="C397">
        <v>2009</v>
      </c>
      <c r="D397" s="10">
        <v>2634203.9109999998</v>
      </c>
      <c r="E397" s="10">
        <v>2402324.6940000001</v>
      </c>
      <c r="F397" s="10">
        <v>231879.217</v>
      </c>
      <c r="G397" s="8">
        <v>432</v>
      </c>
      <c r="H397" s="8">
        <v>237</v>
      </c>
      <c r="I397" s="8">
        <v>669</v>
      </c>
      <c r="J397" s="9">
        <v>17.98</v>
      </c>
      <c r="K397" s="9">
        <v>102.21</v>
      </c>
      <c r="L397" s="9">
        <v>25.4</v>
      </c>
      <c r="M397" s="9">
        <v>25.4</v>
      </c>
      <c r="N397">
        <v>91.2</v>
      </c>
      <c r="O397">
        <v>8.8000000000000007</v>
      </c>
      <c r="Q397">
        <v>72.400000000000006</v>
      </c>
    </row>
    <row r="398" spans="1:17" x14ac:dyDescent="0.2">
      <c r="A398" t="s">
        <v>458</v>
      </c>
      <c r="B398" t="s">
        <v>457</v>
      </c>
      <c r="C398">
        <v>2010</v>
      </c>
      <c r="D398" s="10">
        <v>2666000.7000000002</v>
      </c>
      <c r="E398" s="10">
        <v>2429353.3480000002</v>
      </c>
      <c r="F398" s="10">
        <v>236647.35200000001</v>
      </c>
      <c r="G398" s="8">
        <v>432</v>
      </c>
      <c r="H398" s="8">
        <v>281</v>
      </c>
      <c r="I398" s="8">
        <v>713</v>
      </c>
      <c r="J398" s="9">
        <v>17.78</v>
      </c>
      <c r="K398" s="9">
        <v>118.74</v>
      </c>
      <c r="L398" s="9">
        <v>26.74</v>
      </c>
      <c r="M398" s="9">
        <v>26.74</v>
      </c>
      <c r="N398">
        <v>91.12</v>
      </c>
      <c r="O398">
        <v>8.8800000000000008</v>
      </c>
      <c r="P398">
        <v>34.5</v>
      </c>
      <c r="Q398">
        <v>62.6</v>
      </c>
    </row>
    <row r="399" spans="1:17" x14ac:dyDescent="0.2">
      <c r="A399" t="s">
        <v>459</v>
      </c>
      <c r="B399" t="s">
        <v>457</v>
      </c>
      <c r="C399">
        <v>2011</v>
      </c>
      <c r="D399" s="10">
        <v>2674902.7280000001</v>
      </c>
      <c r="E399" s="10">
        <v>2431211.0449999999</v>
      </c>
      <c r="F399" s="10">
        <v>243691.68299999999</v>
      </c>
      <c r="G399" s="8">
        <v>432</v>
      </c>
      <c r="H399" s="8">
        <v>284</v>
      </c>
      <c r="I399" s="8">
        <v>716</v>
      </c>
      <c r="J399" s="9">
        <v>17.77</v>
      </c>
      <c r="K399" s="9">
        <v>116.54</v>
      </c>
      <c r="L399" s="9">
        <v>26.77</v>
      </c>
      <c r="M399" s="9">
        <v>26.77</v>
      </c>
      <c r="N399">
        <v>90.89</v>
      </c>
      <c r="O399">
        <v>9.11</v>
      </c>
      <c r="P399">
        <v>33.700000000000003</v>
      </c>
      <c r="Q399">
        <v>63.6</v>
      </c>
    </row>
    <row r="400" spans="1:17" x14ac:dyDescent="0.2">
      <c r="A400" t="s">
        <v>460</v>
      </c>
      <c r="B400" t="s">
        <v>457</v>
      </c>
      <c r="C400">
        <v>2012</v>
      </c>
      <c r="D400" s="10">
        <v>2771314.1359999999</v>
      </c>
      <c r="E400" s="10">
        <v>2518152.1579999998</v>
      </c>
      <c r="F400" s="11">
        <v>253161.978</v>
      </c>
      <c r="G400" s="8">
        <v>432</v>
      </c>
      <c r="H400" s="8">
        <v>269.5</v>
      </c>
      <c r="I400" s="8">
        <v>701.5</v>
      </c>
      <c r="J400" s="9">
        <v>17.16</v>
      </c>
      <c r="K400" s="9">
        <v>106.45</v>
      </c>
      <c r="L400" s="9">
        <v>25.31</v>
      </c>
      <c r="M400" s="9">
        <v>25.31</v>
      </c>
      <c r="N400">
        <v>90.86</v>
      </c>
      <c r="O400">
        <v>9.14</v>
      </c>
      <c r="P400">
        <v>32.4</v>
      </c>
      <c r="Q400">
        <v>58.8</v>
      </c>
    </row>
    <row r="401" spans="1:17" x14ac:dyDescent="0.2">
      <c r="A401" t="s">
        <v>461</v>
      </c>
      <c r="B401" t="s">
        <v>457</v>
      </c>
      <c r="C401">
        <v>2013</v>
      </c>
      <c r="D401" s="10">
        <v>2938637.91</v>
      </c>
      <c r="E401" s="10">
        <v>2651498.8480000002</v>
      </c>
      <c r="F401" s="10">
        <v>287139.06199999998</v>
      </c>
      <c r="G401" s="8">
        <v>432</v>
      </c>
      <c r="H401" s="8">
        <v>333.5</v>
      </c>
      <c r="I401" s="8">
        <v>765.5</v>
      </c>
      <c r="J401" s="9">
        <v>16.29</v>
      </c>
      <c r="K401" s="9">
        <v>116.15</v>
      </c>
      <c r="L401" s="9">
        <v>26.05</v>
      </c>
      <c r="M401" s="9">
        <v>26.05</v>
      </c>
      <c r="N401">
        <v>90.23</v>
      </c>
      <c r="O401">
        <v>9.77</v>
      </c>
      <c r="P401">
        <v>24.9</v>
      </c>
      <c r="Q401">
        <v>60.1</v>
      </c>
    </row>
    <row r="402" spans="1:17" x14ac:dyDescent="0.2">
      <c r="A402" t="s">
        <v>462</v>
      </c>
      <c r="B402" t="s">
        <v>457</v>
      </c>
      <c r="C402">
        <v>2014</v>
      </c>
      <c r="D402" s="10">
        <v>2833237.3620000002</v>
      </c>
      <c r="E402" s="10">
        <v>2557761.085</v>
      </c>
      <c r="F402" s="10">
        <v>275476.277</v>
      </c>
      <c r="G402" s="8">
        <v>432</v>
      </c>
      <c r="H402" s="8">
        <v>289.5</v>
      </c>
      <c r="I402" s="8">
        <v>721.5</v>
      </c>
      <c r="J402" s="9">
        <v>16.89</v>
      </c>
      <c r="K402" s="9">
        <v>105.09</v>
      </c>
      <c r="L402" s="9">
        <v>25.47</v>
      </c>
      <c r="M402" s="9">
        <v>25.47</v>
      </c>
      <c r="N402">
        <v>90.28</v>
      </c>
      <c r="O402">
        <v>9.7200000000000006</v>
      </c>
      <c r="P402">
        <v>35.5</v>
      </c>
      <c r="Q402">
        <v>59.2</v>
      </c>
    </row>
    <row r="403" spans="1:17" x14ac:dyDescent="0.2">
      <c r="A403" t="s">
        <v>463</v>
      </c>
      <c r="B403" t="s">
        <v>457</v>
      </c>
      <c r="C403">
        <v>2015</v>
      </c>
      <c r="D403" s="10">
        <v>2907147.3080000002</v>
      </c>
      <c r="E403" s="10">
        <v>2619158.841</v>
      </c>
      <c r="F403" s="10">
        <v>287988.467</v>
      </c>
      <c r="G403" s="8">
        <v>432</v>
      </c>
      <c r="H403" s="8">
        <v>287</v>
      </c>
      <c r="I403" s="8">
        <v>719</v>
      </c>
      <c r="J403" s="9">
        <v>16.489999999999998</v>
      </c>
      <c r="K403" s="9">
        <v>99.66</v>
      </c>
      <c r="L403" s="9">
        <v>24.73</v>
      </c>
      <c r="M403" s="9">
        <v>24.73</v>
      </c>
      <c r="N403">
        <v>90.09</v>
      </c>
      <c r="O403">
        <v>9.91</v>
      </c>
      <c r="P403">
        <v>30.9</v>
      </c>
      <c r="Q403">
        <v>62</v>
      </c>
    </row>
    <row r="404" spans="1:17" x14ac:dyDescent="0.2">
      <c r="A404" t="s">
        <v>464</v>
      </c>
      <c r="B404" t="s">
        <v>457</v>
      </c>
      <c r="C404">
        <v>2016</v>
      </c>
      <c r="D404" s="10">
        <v>2920074.091</v>
      </c>
      <c r="E404" s="10">
        <v>2623298.6120000002</v>
      </c>
      <c r="F404" s="10">
        <v>296775.47899999999</v>
      </c>
      <c r="G404" s="8">
        <v>432</v>
      </c>
      <c r="H404" s="8">
        <v>291</v>
      </c>
      <c r="I404" s="8">
        <v>723</v>
      </c>
      <c r="J404" s="9">
        <v>16.47</v>
      </c>
      <c r="K404" s="9">
        <v>98.05</v>
      </c>
      <c r="L404" s="9">
        <v>24.76</v>
      </c>
      <c r="M404" s="9">
        <v>24.76</v>
      </c>
      <c r="N404">
        <v>89.84</v>
      </c>
      <c r="O404">
        <v>10.16</v>
      </c>
      <c r="P404">
        <v>30.8</v>
      </c>
      <c r="Q404">
        <v>61.7</v>
      </c>
    </row>
    <row r="405" spans="1:17" x14ac:dyDescent="0.2">
      <c r="A405" t="s">
        <v>465</v>
      </c>
      <c r="B405" t="s">
        <v>457</v>
      </c>
      <c r="C405">
        <v>2017</v>
      </c>
      <c r="D405" s="10">
        <v>2989969</v>
      </c>
      <c r="E405" s="10">
        <v>2675986</v>
      </c>
      <c r="F405" s="10">
        <v>313983</v>
      </c>
      <c r="G405" s="8">
        <v>432</v>
      </c>
      <c r="H405" s="8">
        <v>239.5</v>
      </c>
      <c r="I405" s="8">
        <v>671.5</v>
      </c>
      <c r="J405" s="9">
        <v>16.14</v>
      </c>
      <c r="K405" s="9">
        <v>76.28</v>
      </c>
      <c r="L405" s="9">
        <v>22.46</v>
      </c>
      <c r="M405" s="9">
        <v>22.46</v>
      </c>
      <c r="N405">
        <v>89.5</v>
      </c>
      <c r="O405">
        <v>10.5</v>
      </c>
      <c r="P405">
        <v>24.9</v>
      </c>
    </row>
    <row r="406" spans="1:17" x14ac:dyDescent="0.2">
      <c r="A406" t="s">
        <v>466</v>
      </c>
      <c r="B406" t="s">
        <v>467</v>
      </c>
      <c r="C406">
        <v>2009</v>
      </c>
      <c r="D406" s="10">
        <v>620825.25899999996</v>
      </c>
      <c r="E406" s="10">
        <v>535329.5</v>
      </c>
      <c r="F406" s="10">
        <v>85495.759000000005</v>
      </c>
      <c r="G406" s="8">
        <v>432</v>
      </c>
      <c r="H406" s="8">
        <v>162</v>
      </c>
      <c r="I406" s="8">
        <v>594</v>
      </c>
      <c r="J406" s="9">
        <v>80.7</v>
      </c>
      <c r="K406" s="9">
        <v>189.48</v>
      </c>
      <c r="L406" s="9">
        <v>95.68</v>
      </c>
      <c r="M406" s="9">
        <v>95.68</v>
      </c>
      <c r="N406">
        <v>86.23</v>
      </c>
      <c r="O406">
        <v>13.77</v>
      </c>
      <c r="Q406">
        <v>73.2</v>
      </c>
    </row>
    <row r="407" spans="1:17" x14ac:dyDescent="0.2">
      <c r="A407" t="s">
        <v>468</v>
      </c>
      <c r="B407" t="s">
        <v>467</v>
      </c>
      <c r="C407">
        <v>2010</v>
      </c>
      <c r="D407" s="10">
        <v>573228.049</v>
      </c>
      <c r="E407" s="10">
        <v>493227.74300000002</v>
      </c>
      <c r="F407" s="11">
        <v>80000.305999999997</v>
      </c>
      <c r="G407" s="8">
        <v>432</v>
      </c>
      <c r="H407" s="8">
        <v>162</v>
      </c>
      <c r="I407" s="8">
        <v>594</v>
      </c>
      <c r="J407" s="9">
        <v>87.59</v>
      </c>
      <c r="K407" s="9">
        <v>202.5</v>
      </c>
      <c r="L407" s="9">
        <v>103.62</v>
      </c>
      <c r="M407" s="9">
        <v>103.62</v>
      </c>
      <c r="N407">
        <v>86.04</v>
      </c>
      <c r="O407">
        <v>13.96</v>
      </c>
      <c r="P407">
        <v>36.4</v>
      </c>
      <c r="Q407">
        <v>70.8</v>
      </c>
    </row>
    <row r="408" spans="1:17" x14ac:dyDescent="0.2">
      <c r="A408" t="s">
        <v>469</v>
      </c>
      <c r="B408" t="s">
        <v>467</v>
      </c>
      <c r="C408">
        <v>2011</v>
      </c>
      <c r="D408" s="11">
        <v>690765.68299999996</v>
      </c>
      <c r="E408" s="10">
        <v>591007.071</v>
      </c>
      <c r="F408" s="10">
        <v>99758.611999999994</v>
      </c>
      <c r="G408" s="8">
        <v>432</v>
      </c>
      <c r="H408" s="8">
        <v>162</v>
      </c>
      <c r="I408" s="8">
        <v>594</v>
      </c>
      <c r="J408" s="9">
        <v>73.099999999999994</v>
      </c>
      <c r="K408" s="9">
        <v>162.38999999999999</v>
      </c>
      <c r="L408" s="9">
        <v>85.99</v>
      </c>
      <c r="M408" s="9">
        <v>85.99</v>
      </c>
      <c r="N408">
        <v>85.56</v>
      </c>
      <c r="O408">
        <v>14.44</v>
      </c>
      <c r="P408">
        <v>33.200000000000003</v>
      </c>
      <c r="Q408">
        <v>70.099999999999994</v>
      </c>
    </row>
    <row r="409" spans="1:17" x14ac:dyDescent="0.2">
      <c r="A409" t="s">
        <v>470</v>
      </c>
      <c r="B409" t="s">
        <v>467</v>
      </c>
      <c r="C409">
        <v>2012</v>
      </c>
      <c r="D409" s="10">
        <v>647968.77399999998</v>
      </c>
      <c r="E409" s="10">
        <v>552876.91899999999</v>
      </c>
      <c r="F409" s="10">
        <v>95091.854999999996</v>
      </c>
      <c r="G409" s="8">
        <v>432</v>
      </c>
      <c r="H409" s="8">
        <v>162</v>
      </c>
      <c r="I409" s="8">
        <v>594</v>
      </c>
      <c r="J409" s="9">
        <v>78.14</v>
      </c>
      <c r="K409" s="9">
        <v>170.36</v>
      </c>
      <c r="L409" s="9">
        <v>91.67</v>
      </c>
      <c r="M409" s="9">
        <v>91.67</v>
      </c>
      <c r="N409">
        <v>85.32</v>
      </c>
      <c r="O409">
        <v>14.68</v>
      </c>
      <c r="P409">
        <v>37.799999999999997</v>
      </c>
      <c r="Q409">
        <v>68.7</v>
      </c>
    </row>
    <row r="410" spans="1:17" x14ac:dyDescent="0.2">
      <c r="A410" t="s">
        <v>471</v>
      </c>
      <c r="B410" t="s">
        <v>467</v>
      </c>
      <c r="C410">
        <v>2013</v>
      </c>
      <c r="D410" s="10">
        <v>558111.61699999997</v>
      </c>
      <c r="E410" s="10">
        <v>475083.99800000002</v>
      </c>
      <c r="F410" s="11">
        <v>83027.618999999904</v>
      </c>
      <c r="G410" s="8">
        <v>432</v>
      </c>
      <c r="H410" s="8">
        <v>162</v>
      </c>
      <c r="I410" s="8">
        <v>594</v>
      </c>
      <c r="J410" s="9">
        <v>90.93</v>
      </c>
      <c r="K410" s="9">
        <v>195.12</v>
      </c>
      <c r="L410" s="9">
        <v>106.43</v>
      </c>
      <c r="M410" s="9">
        <v>106.43</v>
      </c>
      <c r="N410">
        <v>85.12</v>
      </c>
      <c r="O410">
        <v>14.88</v>
      </c>
      <c r="P410">
        <v>34.4</v>
      </c>
      <c r="Q410">
        <v>70.400000000000006</v>
      </c>
    </row>
    <row r="411" spans="1:17" x14ac:dyDescent="0.2">
      <c r="A411" t="s">
        <v>472</v>
      </c>
      <c r="B411" t="s">
        <v>467</v>
      </c>
      <c r="C411">
        <v>2014</v>
      </c>
      <c r="D411" s="10">
        <v>509070.36700000003</v>
      </c>
      <c r="E411" s="10">
        <v>430813.02399999998</v>
      </c>
      <c r="F411" s="10">
        <v>78257.342999999993</v>
      </c>
      <c r="G411" s="8">
        <v>432</v>
      </c>
      <c r="H411" s="8">
        <v>162</v>
      </c>
      <c r="I411" s="8">
        <v>594</v>
      </c>
      <c r="J411" s="9">
        <v>100.28</v>
      </c>
      <c r="K411" s="9">
        <v>207.01</v>
      </c>
      <c r="L411" s="9">
        <v>116.68</v>
      </c>
      <c r="M411" s="9">
        <v>116.68</v>
      </c>
      <c r="N411">
        <v>84.63</v>
      </c>
      <c r="O411">
        <v>15.37</v>
      </c>
      <c r="P411">
        <v>36.4</v>
      </c>
      <c r="Q411">
        <v>68.3</v>
      </c>
    </row>
    <row r="412" spans="1:17" x14ac:dyDescent="0.2">
      <c r="A412" t="s">
        <v>473</v>
      </c>
      <c r="B412" t="s">
        <v>467</v>
      </c>
      <c r="C412">
        <v>2015</v>
      </c>
      <c r="D412" s="10">
        <v>746073.978</v>
      </c>
      <c r="E412" s="10">
        <v>625689.88800000004</v>
      </c>
      <c r="F412" s="10">
        <v>120384.09</v>
      </c>
      <c r="G412" s="8">
        <v>432</v>
      </c>
      <c r="H412" s="8">
        <v>177.5</v>
      </c>
      <c r="I412" s="8">
        <v>609.5</v>
      </c>
      <c r="J412" s="9">
        <v>69.040000000000006</v>
      </c>
      <c r="K412" s="9">
        <v>147.44</v>
      </c>
      <c r="L412" s="9">
        <v>81.69</v>
      </c>
      <c r="M412" s="9">
        <v>81.69</v>
      </c>
      <c r="N412">
        <v>83.86</v>
      </c>
      <c r="O412">
        <v>16.14</v>
      </c>
      <c r="P412">
        <v>33.4</v>
      </c>
      <c r="Q412">
        <v>66.8</v>
      </c>
    </row>
    <row r="413" spans="1:17" x14ac:dyDescent="0.2">
      <c r="A413" t="s">
        <v>474</v>
      </c>
      <c r="B413" t="s">
        <v>467</v>
      </c>
      <c r="C413">
        <v>2016</v>
      </c>
      <c r="D413" s="10">
        <v>555554.696</v>
      </c>
      <c r="E413" s="10">
        <v>460502.19199999998</v>
      </c>
      <c r="F413" s="10">
        <v>95052.504000000001</v>
      </c>
      <c r="G413" s="8">
        <v>432</v>
      </c>
      <c r="H413" s="8">
        <v>162</v>
      </c>
      <c r="I413" s="8">
        <v>594</v>
      </c>
      <c r="J413" s="9">
        <v>93.81</v>
      </c>
      <c r="K413" s="9">
        <v>170.43</v>
      </c>
      <c r="L413" s="9">
        <v>106.92</v>
      </c>
      <c r="M413" s="9">
        <v>106.92</v>
      </c>
      <c r="N413">
        <v>82.89</v>
      </c>
      <c r="O413">
        <v>17.11</v>
      </c>
      <c r="P413">
        <v>30.3</v>
      </c>
      <c r="Q413">
        <v>63.9</v>
      </c>
    </row>
    <row r="414" spans="1:17" x14ac:dyDescent="0.2">
      <c r="A414" t="s">
        <v>475</v>
      </c>
      <c r="B414" t="s">
        <v>467</v>
      </c>
      <c r="C414">
        <v>2017</v>
      </c>
      <c r="D414" s="10">
        <v>657467</v>
      </c>
      <c r="E414" s="10">
        <v>541891</v>
      </c>
      <c r="F414" s="10">
        <v>115576</v>
      </c>
      <c r="G414" s="8">
        <v>432</v>
      </c>
      <c r="H414" s="8">
        <v>162</v>
      </c>
      <c r="I414" s="8">
        <v>594</v>
      </c>
      <c r="J414" s="9">
        <v>79.72</v>
      </c>
      <c r="K414" s="9">
        <v>140.16999999999999</v>
      </c>
      <c r="L414" s="9">
        <v>90.35</v>
      </c>
      <c r="M414" s="9">
        <v>90.35</v>
      </c>
      <c r="N414">
        <v>82.42</v>
      </c>
      <c r="O414">
        <v>17.579999999999998</v>
      </c>
      <c r="P414">
        <v>27.7</v>
      </c>
    </row>
    <row r="415" spans="1:17" x14ac:dyDescent="0.2">
      <c r="A415" t="s">
        <v>476</v>
      </c>
      <c r="B415" t="s">
        <v>477</v>
      </c>
      <c r="C415">
        <v>2009</v>
      </c>
      <c r="D415" s="10">
        <v>7686050.9790000003</v>
      </c>
      <c r="E415" s="11">
        <v>6785522.5549999997</v>
      </c>
      <c r="F415" s="10">
        <v>900528.424</v>
      </c>
      <c r="G415" s="8">
        <v>458</v>
      </c>
      <c r="H415" s="8">
        <v>1029</v>
      </c>
      <c r="I415" s="8">
        <v>1487</v>
      </c>
      <c r="J415" s="9">
        <v>6.75</v>
      </c>
      <c r="K415" s="9">
        <v>114.27</v>
      </c>
      <c r="L415" s="9">
        <v>19.350000000000001</v>
      </c>
      <c r="M415" s="9">
        <v>19.350000000000001</v>
      </c>
      <c r="N415">
        <v>88.28</v>
      </c>
      <c r="O415">
        <v>11.72</v>
      </c>
      <c r="Q415">
        <v>73.8</v>
      </c>
    </row>
    <row r="416" spans="1:17" x14ac:dyDescent="0.2">
      <c r="A416" t="s">
        <v>478</v>
      </c>
      <c r="B416" t="s">
        <v>477</v>
      </c>
      <c r="C416">
        <v>2010</v>
      </c>
      <c r="D416" s="11">
        <v>7571444.6729999902</v>
      </c>
      <c r="E416" s="10">
        <v>6682056.1689999998</v>
      </c>
      <c r="F416" s="10">
        <v>889388.50399999996</v>
      </c>
      <c r="G416" s="8">
        <v>432</v>
      </c>
      <c r="H416" s="8">
        <v>1041</v>
      </c>
      <c r="I416" s="8">
        <v>1473</v>
      </c>
      <c r="J416" s="9">
        <v>6.47</v>
      </c>
      <c r="K416" s="9">
        <v>117.05</v>
      </c>
      <c r="L416" s="9">
        <v>19.45</v>
      </c>
      <c r="M416" s="9">
        <v>19.45</v>
      </c>
      <c r="N416">
        <v>88.25</v>
      </c>
      <c r="O416">
        <v>11.75</v>
      </c>
      <c r="P416">
        <v>40.799999999999997</v>
      </c>
      <c r="Q416">
        <v>70.5</v>
      </c>
    </row>
    <row r="417" spans="1:17" x14ac:dyDescent="0.2">
      <c r="A417" t="s">
        <v>479</v>
      </c>
      <c r="B417" t="s">
        <v>477</v>
      </c>
      <c r="C417">
        <v>2011</v>
      </c>
      <c r="D417" s="10">
        <v>7913785.9649999999</v>
      </c>
      <c r="E417" s="10">
        <v>6963120.5480000004</v>
      </c>
      <c r="F417" s="10">
        <v>950665.41700000002</v>
      </c>
      <c r="G417" s="8">
        <v>481.5</v>
      </c>
      <c r="H417" s="8">
        <v>1204</v>
      </c>
      <c r="I417" s="8">
        <v>1685.5</v>
      </c>
      <c r="J417" s="9">
        <v>6.92</v>
      </c>
      <c r="K417" s="9">
        <v>126.65</v>
      </c>
      <c r="L417" s="9">
        <v>21.3</v>
      </c>
      <c r="M417" s="9">
        <v>21.3</v>
      </c>
      <c r="N417">
        <v>87.99</v>
      </c>
      <c r="O417">
        <v>12.01</v>
      </c>
      <c r="P417">
        <v>37</v>
      </c>
      <c r="Q417">
        <v>63.6</v>
      </c>
    </row>
    <row r="418" spans="1:17" x14ac:dyDescent="0.2">
      <c r="A418" t="s">
        <v>480</v>
      </c>
      <c r="B418" t="s">
        <v>477</v>
      </c>
      <c r="C418">
        <v>2012</v>
      </c>
      <c r="D418" s="10">
        <v>7624549.1579999998</v>
      </c>
      <c r="E418" s="10">
        <v>6695031.3150000004</v>
      </c>
      <c r="F418" s="10">
        <v>929517.84299999999</v>
      </c>
      <c r="G418" s="8">
        <v>443</v>
      </c>
      <c r="H418" s="8">
        <v>1109.5</v>
      </c>
      <c r="I418" s="8">
        <v>1552.5</v>
      </c>
      <c r="J418" s="9">
        <v>6.62</v>
      </c>
      <c r="K418" s="9">
        <v>119.36</v>
      </c>
      <c r="L418" s="9">
        <v>20.36</v>
      </c>
      <c r="M418" s="9">
        <v>20.36</v>
      </c>
      <c r="N418">
        <v>87.81</v>
      </c>
      <c r="O418">
        <v>12.19</v>
      </c>
      <c r="P418">
        <v>34.1</v>
      </c>
      <c r="Q418">
        <v>69.7</v>
      </c>
    </row>
    <row r="419" spans="1:17" x14ac:dyDescent="0.2">
      <c r="A419" t="s">
        <v>481</v>
      </c>
      <c r="B419" t="s">
        <v>477</v>
      </c>
      <c r="C419">
        <v>2013</v>
      </c>
      <c r="D419" s="10">
        <v>8077827.8169999998</v>
      </c>
      <c r="E419" s="11">
        <v>7061020.61499999</v>
      </c>
      <c r="F419" s="10">
        <v>1016807.202</v>
      </c>
      <c r="G419" s="8">
        <v>460</v>
      </c>
      <c r="H419" s="8">
        <v>1230.5</v>
      </c>
      <c r="I419" s="8">
        <v>1690.5</v>
      </c>
      <c r="J419" s="9">
        <v>6.51</v>
      </c>
      <c r="K419" s="9">
        <v>121.02</v>
      </c>
      <c r="L419" s="9">
        <v>20.93</v>
      </c>
      <c r="M419" s="9">
        <v>20.93</v>
      </c>
      <c r="N419">
        <v>87.41</v>
      </c>
      <c r="O419">
        <v>12.59</v>
      </c>
      <c r="P419">
        <v>33.9</v>
      </c>
      <c r="Q419">
        <v>69.099999999999994</v>
      </c>
    </row>
    <row r="420" spans="1:17" x14ac:dyDescent="0.2">
      <c r="A420" t="s">
        <v>482</v>
      </c>
      <c r="B420" t="s">
        <v>477</v>
      </c>
      <c r="C420">
        <v>2014</v>
      </c>
      <c r="D420" s="10">
        <v>8113210.7829999998</v>
      </c>
      <c r="E420" s="10">
        <v>7060661.6969999997</v>
      </c>
      <c r="F420" s="10">
        <v>1052549.0859999999</v>
      </c>
      <c r="G420" s="8">
        <v>526.5</v>
      </c>
      <c r="H420" s="8">
        <v>1229</v>
      </c>
      <c r="I420" s="8">
        <v>1755.5</v>
      </c>
      <c r="J420" s="9">
        <v>7.46</v>
      </c>
      <c r="K420" s="9">
        <v>116.76</v>
      </c>
      <c r="L420" s="9">
        <v>21.64</v>
      </c>
      <c r="M420" s="9">
        <v>21.64</v>
      </c>
      <c r="N420">
        <v>87.03</v>
      </c>
      <c r="O420">
        <v>12.97</v>
      </c>
      <c r="P420">
        <v>34.700000000000003</v>
      </c>
      <c r="Q420">
        <v>67.7</v>
      </c>
    </row>
    <row r="421" spans="1:17" x14ac:dyDescent="0.2">
      <c r="A421" t="s">
        <v>483</v>
      </c>
      <c r="B421" t="s">
        <v>477</v>
      </c>
      <c r="C421">
        <v>2015</v>
      </c>
      <c r="D421" s="10">
        <v>8326356.7280000001</v>
      </c>
      <c r="E421" s="10">
        <v>7218650.0130000003</v>
      </c>
      <c r="F421" s="10">
        <v>1107706.7150000001</v>
      </c>
      <c r="G421" s="8">
        <v>497</v>
      </c>
      <c r="H421" s="8">
        <v>1206</v>
      </c>
      <c r="I421" s="8">
        <v>1703</v>
      </c>
      <c r="J421" s="9">
        <v>6.88</v>
      </c>
      <c r="K421" s="9">
        <v>108.87</v>
      </c>
      <c r="L421" s="9">
        <v>20.45</v>
      </c>
      <c r="M421" s="9">
        <v>20.45</v>
      </c>
      <c r="N421">
        <v>86.7</v>
      </c>
      <c r="O421">
        <v>13.3</v>
      </c>
      <c r="P421">
        <v>31.8</v>
      </c>
      <c r="Q421">
        <v>69.5</v>
      </c>
    </row>
    <row r="422" spans="1:17" x14ac:dyDescent="0.2">
      <c r="A422" t="s">
        <v>484</v>
      </c>
      <c r="B422" t="s">
        <v>477</v>
      </c>
      <c r="C422">
        <v>2016</v>
      </c>
      <c r="D422" s="10">
        <v>8178633.3250000002</v>
      </c>
      <c r="E422" s="10">
        <v>7068644.6059999997</v>
      </c>
      <c r="F422" s="10">
        <v>1109988.719</v>
      </c>
      <c r="G422" s="8">
        <v>485</v>
      </c>
      <c r="H422" s="8">
        <v>982</v>
      </c>
      <c r="I422" s="8">
        <v>1467</v>
      </c>
      <c r="J422" s="9">
        <v>6.86</v>
      </c>
      <c r="K422" s="9">
        <v>88.47</v>
      </c>
      <c r="L422" s="9">
        <v>17.940000000000001</v>
      </c>
      <c r="M422" s="9">
        <v>17.940000000000001</v>
      </c>
      <c r="N422">
        <v>86.43</v>
      </c>
      <c r="O422">
        <v>13.57</v>
      </c>
      <c r="P422">
        <v>31.3</v>
      </c>
      <c r="Q422">
        <v>67.099999999999994</v>
      </c>
    </row>
    <row r="423" spans="1:17" x14ac:dyDescent="0.2">
      <c r="A423" t="s">
        <v>485</v>
      </c>
      <c r="B423" t="s">
        <v>477</v>
      </c>
      <c r="C423">
        <v>2017</v>
      </c>
      <c r="D423" s="10">
        <v>8225462</v>
      </c>
      <c r="E423" s="10">
        <v>7073007</v>
      </c>
      <c r="F423" s="10">
        <v>1152455</v>
      </c>
      <c r="G423" s="8">
        <v>490</v>
      </c>
      <c r="H423" s="8">
        <v>1036</v>
      </c>
      <c r="I423" s="8">
        <v>1526</v>
      </c>
      <c r="J423" s="9">
        <v>6.93</v>
      </c>
      <c r="K423" s="9">
        <v>89.9</v>
      </c>
      <c r="L423" s="9">
        <v>18.55</v>
      </c>
      <c r="M423" s="9">
        <v>18.55</v>
      </c>
      <c r="N423">
        <v>85.99</v>
      </c>
      <c r="O423">
        <v>14.01</v>
      </c>
      <c r="P423">
        <v>28.3</v>
      </c>
    </row>
    <row r="424" spans="1:17" x14ac:dyDescent="0.2">
      <c r="A424" t="s">
        <v>486</v>
      </c>
      <c r="B424" t="s">
        <v>487</v>
      </c>
      <c r="C424">
        <v>2009</v>
      </c>
      <c r="D424" s="10">
        <v>6463435.3150000004</v>
      </c>
      <c r="E424" s="10">
        <v>5704893.8650000002</v>
      </c>
      <c r="F424" s="11">
        <v>758541.45</v>
      </c>
      <c r="G424" s="8">
        <v>470</v>
      </c>
      <c r="H424" s="8">
        <v>544</v>
      </c>
      <c r="I424" s="8">
        <v>1014</v>
      </c>
      <c r="J424" s="9">
        <v>8.24</v>
      </c>
      <c r="K424" s="9">
        <v>71.72</v>
      </c>
      <c r="L424" s="9">
        <v>15.69</v>
      </c>
      <c r="M424" s="9">
        <v>15.69</v>
      </c>
      <c r="N424">
        <v>88.26</v>
      </c>
      <c r="O424">
        <v>11.74</v>
      </c>
      <c r="Q424">
        <v>74.400000000000006</v>
      </c>
    </row>
    <row r="425" spans="1:17" x14ac:dyDescent="0.2">
      <c r="A425" t="s">
        <v>488</v>
      </c>
      <c r="B425" t="s">
        <v>487</v>
      </c>
      <c r="C425">
        <v>2010</v>
      </c>
      <c r="D425" s="10">
        <v>6539301.8820000002</v>
      </c>
      <c r="E425" s="10">
        <v>5763370.0140000004</v>
      </c>
      <c r="F425" s="10">
        <v>775931.86800000002</v>
      </c>
      <c r="G425" s="8">
        <v>438.5</v>
      </c>
      <c r="H425" s="8">
        <v>472</v>
      </c>
      <c r="I425" s="8">
        <v>910.5</v>
      </c>
      <c r="J425" s="9">
        <v>7.61</v>
      </c>
      <c r="K425" s="9">
        <v>60.83</v>
      </c>
      <c r="L425" s="9">
        <v>13.92</v>
      </c>
      <c r="M425" s="9">
        <v>13.92</v>
      </c>
      <c r="N425">
        <v>88.13</v>
      </c>
      <c r="O425">
        <v>11.87</v>
      </c>
      <c r="P425">
        <v>32.4</v>
      </c>
      <c r="Q425">
        <v>65.3</v>
      </c>
    </row>
    <row r="426" spans="1:17" x14ac:dyDescent="0.2">
      <c r="A426" t="s">
        <v>489</v>
      </c>
      <c r="B426" t="s">
        <v>487</v>
      </c>
      <c r="C426">
        <v>2011</v>
      </c>
      <c r="D426" s="10">
        <v>6628849.4759999998</v>
      </c>
      <c r="E426" s="10">
        <v>5823987.8039999995</v>
      </c>
      <c r="F426" s="10">
        <v>804861.67200000002</v>
      </c>
      <c r="G426" s="8">
        <v>439.5</v>
      </c>
      <c r="H426" s="8">
        <v>614</v>
      </c>
      <c r="I426" s="8">
        <v>1053.5</v>
      </c>
      <c r="J426" s="9">
        <v>7.55</v>
      </c>
      <c r="K426" s="9">
        <v>76.290000000000006</v>
      </c>
      <c r="L426" s="9">
        <v>15.89</v>
      </c>
      <c r="M426" s="9">
        <v>15.89</v>
      </c>
      <c r="N426">
        <v>87.86</v>
      </c>
      <c r="O426">
        <v>12.14</v>
      </c>
      <c r="P426">
        <v>30.8</v>
      </c>
      <c r="Q426">
        <v>67.599999999999994</v>
      </c>
    </row>
    <row r="427" spans="1:17" x14ac:dyDescent="0.2">
      <c r="A427" t="s">
        <v>490</v>
      </c>
      <c r="B427" t="s">
        <v>487</v>
      </c>
      <c r="C427">
        <v>2012</v>
      </c>
      <c r="D427" s="10">
        <v>6766419.0800000001</v>
      </c>
      <c r="E427" s="10">
        <v>5924506.1109999996</v>
      </c>
      <c r="F427" s="10">
        <v>841912.96900000004</v>
      </c>
      <c r="G427" s="8">
        <v>432</v>
      </c>
      <c r="H427" s="8">
        <v>579.5</v>
      </c>
      <c r="I427" s="8">
        <v>1011.5</v>
      </c>
      <c r="J427" s="9">
        <v>7.29</v>
      </c>
      <c r="K427" s="9">
        <v>68.83</v>
      </c>
      <c r="L427" s="9">
        <v>14.95</v>
      </c>
      <c r="M427" s="9">
        <v>14.95</v>
      </c>
      <c r="N427">
        <v>87.56</v>
      </c>
      <c r="O427">
        <v>12.44</v>
      </c>
      <c r="P427">
        <v>33.1</v>
      </c>
      <c r="Q427">
        <v>67.900000000000006</v>
      </c>
    </row>
    <row r="428" spans="1:17" x14ac:dyDescent="0.2">
      <c r="A428" t="s">
        <v>491</v>
      </c>
      <c r="B428" t="s">
        <v>487</v>
      </c>
      <c r="C428">
        <v>2013</v>
      </c>
      <c r="D428" s="10">
        <v>6777602.9780000001</v>
      </c>
      <c r="E428" s="10">
        <v>5915486.4440000001</v>
      </c>
      <c r="F428" s="10">
        <v>862116.53399999999</v>
      </c>
      <c r="G428" s="8">
        <v>437.5</v>
      </c>
      <c r="H428" s="8">
        <v>650</v>
      </c>
      <c r="I428" s="8">
        <v>1087.5</v>
      </c>
      <c r="J428" s="9">
        <v>7.4</v>
      </c>
      <c r="K428" s="9">
        <v>75.400000000000006</v>
      </c>
      <c r="L428" s="9">
        <v>16.05</v>
      </c>
      <c r="M428" s="9">
        <v>16.05</v>
      </c>
      <c r="N428">
        <v>87.28</v>
      </c>
      <c r="O428">
        <v>12.72</v>
      </c>
      <c r="P428">
        <v>32.4</v>
      </c>
      <c r="Q428">
        <v>65.3</v>
      </c>
    </row>
    <row r="429" spans="1:17" x14ac:dyDescent="0.2">
      <c r="A429" t="s">
        <v>492</v>
      </c>
      <c r="B429" t="s">
        <v>487</v>
      </c>
      <c r="C429">
        <v>2014</v>
      </c>
      <c r="D429" s="11">
        <v>6933518.08099999</v>
      </c>
      <c r="E429" s="10">
        <v>6020208.5029999996</v>
      </c>
      <c r="F429" s="10">
        <v>913309.57799999998</v>
      </c>
      <c r="G429" s="8">
        <v>469</v>
      </c>
      <c r="H429" s="8">
        <v>558.5</v>
      </c>
      <c r="I429" s="8">
        <v>1027.5</v>
      </c>
      <c r="J429" s="9">
        <v>7.79</v>
      </c>
      <c r="K429" s="9">
        <v>61.15</v>
      </c>
      <c r="L429" s="9">
        <v>14.82</v>
      </c>
      <c r="M429" s="9">
        <v>14.82</v>
      </c>
      <c r="N429">
        <v>86.83</v>
      </c>
      <c r="O429">
        <v>13.17</v>
      </c>
      <c r="P429">
        <v>30</v>
      </c>
      <c r="Q429">
        <v>68.7</v>
      </c>
    </row>
    <row r="430" spans="1:17" x14ac:dyDescent="0.2">
      <c r="A430" t="s">
        <v>493</v>
      </c>
      <c r="B430" t="s">
        <v>487</v>
      </c>
      <c r="C430">
        <v>2015</v>
      </c>
      <c r="D430" s="10">
        <v>6945236.8679999998</v>
      </c>
      <c r="E430" s="11">
        <v>6008148.0289999899</v>
      </c>
      <c r="F430" s="10">
        <v>937088.83900000004</v>
      </c>
      <c r="G430" s="8">
        <v>432</v>
      </c>
      <c r="H430" s="8">
        <v>711.5</v>
      </c>
      <c r="I430" s="8">
        <v>1143.5</v>
      </c>
      <c r="J430" s="9">
        <v>7.19</v>
      </c>
      <c r="K430" s="9">
        <v>75.930000000000007</v>
      </c>
      <c r="L430" s="9">
        <v>16.46</v>
      </c>
      <c r="M430" s="9">
        <v>16.46</v>
      </c>
      <c r="N430">
        <v>86.51</v>
      </c>
      <c r="O430">
        <v>13.49</v>
      </c>
      <c r="P430">
        <v>29.9</v>
      </c>
      <c r="Q430">
        <v>68.599999999999994</v>
      </c>
    </row>
    <row r="431" spans="1:17" x14ac:dyDescent="0.2">
      <c r="A431" t="s">
        <v>494</v>
      </c>
      <c r="B431" t="s">
        <v>487</v>
      </c>
      <c r="C431">
        <v>2016</v>
      </c>
      <c r="D431" s="11">
        <v>7002840.9649999999</v>
      </c>
      <c r="E431" s="11">
        <v>6028936.4989999998</v>
      </c>
      <c r="F431" s="10">
        <v>973904.46600000001</v>
      </c>
      <c r="G431" s="8">
        <v>457.5</v>
      </c>
      <c r="H431" s="8">
        <v>644.5</v>
      </c>
      <c r="I431" s="8">
        <v>1102</v>
      </c>
      <c r="J431" s="9">
        <v>7.59</v>
      </c>
      <c r="K431" s="9">
        <v>66.180000000000007</v>
      </c>
      <c r="L431" s="9">
        <v>15.74</v>
      </c>
      <c r="M431" s="9">
        <v>15.74</v>
      </c>
      <c r="N431">
        <v>86.09</v>
      </c>
      <c r="O431">
        <v>13.91</v>
      </c>
      <c r="P431">
        <v>31</v>
      </c>
      <c r="Q431">
        <v>66.7</v>
      </c>
    </row>
    <row r="432" spans="1:17" x14ac:dyDescent="0.2">
      <c r="A432" t="s">
        <v>495</v>
      </c>
      <c r="B432" t="s">
        <v>487</v>
      </c>
      <c r="C432">
        <v>2017</v>
      </c>
      <c r="D432" s="10">
        <v>7100074</v>
      </c>
      <c r="E432" s="10">
        <v>6081809</v>
      </c>
      <c r="F432" s="10">
        <v>1018265</v>
      </c>
      <c r="G432" s="8">
        <v>466</v>
      </c>
      <c r="H432" s="8">
        <v>868.5</v>
      </c>
      <c r="I432" s="8">
        <v>1334.5</v>
      </c>
      <c r="J432" s="9">
        <v>7.66</v>
      </c>
      <c r="K432" s="9">
        <v>85.29</v>
      </c>
      <c r="L432" s="9">
        <v>18.8</v>
      </c>
      <c r="M432" s="9">
        <v>18.8</v>
      </c>
      <c r="N432">
        <v>85.66</v>
      </c>
      <c r="O432">
        <v>14.34</v>
      </c>
      <c r="P432">
        <v>28.3</v>
      </c>
    </row>
    <row r="433" spans="1:17" x14ac:dyDescent="0.2">
      <c r="A433" t="s">
        <v>496</v>
      </c>
      <c r="B433" t="s">
        <v>497</v>
      </c>
      <c r="C433">
        <v>2009</v>
      </c>
      <c r="D433" s="10">
        <v>1772259.91</v>
      </c>
      <c r="E433" s="10">
        <v>1496621.3</v>
      </c>
      <c r="F433" s="10">
        <v>275638.61</v>
      </c>
      <c r="G433" s="8">
        <v>437.5</v>
      </c>
      <c r="H433" s="8">
        <v>350</v>
      </c>
      <c r="I433" s="8">
        <v>787.5</v>
      </c>
      <c r="J433" s="9">
        <v>29.23</v>
      </c>
      <c r="K433" s="9">
        <v>126.98</v>
      </c>
      <c r="L433" s="9">
        <v>44.43</v>
      </c>
      <c r="M433" s="9">
        <v>44.43</v>
      </c>
      <c r="N433">
        <v>84.45</v>
      </c>
      <c r="O433">
        <v>15.55</v>
      </c>
      <c r="Q433">
        <v>69.400000000000006</v>
      </c>
    </row>
    <row r="434" spans="1:17" x14ac:dyDescent="0.2">
      <c r="A434" t="s">
        <v>498</v>
      </c>
      <c r="B434" t="s">
        <v>497</v>
      </c>
      <c r="C434">
        <v>2010</v>
      </c>
      <c r="D434" s="10">
        <v>1881283.0930000001</v>
      </c>
      <c r="E434" s="10">
        <v>1584657.35</v>
      </c>
      <c r="F434" s="10">
        <v>296625.74300000002</v>
      </c>
      <c r="G434" s="8">
        <v>432</v>
      </c>
      <c r="H434" s="8">
        <v>361.5</v>
      </c>
      <c r="I434" s="8">
        <v>793.5</v>
      </c>
      <c r="J434" s="9">
        <v>27.26</v>
      </c>
      <c r="K434" s="9">
        <v>121.87</v>
      </c>
      <c r="L434" s="9">
        <v>42.18</v>
      </c>
      <c r="M434" s="9">
        <v>42.18</v>
      </c>
      <c r="N434">
        <v>84.23</v>
      </c>
      <c r="O434">
        <v>15.77</v>
      </c>
      <c r="P434">
        <v>39.4</v>
      </c>
      <c r="Q434">
        <v>73.2</v>
      </c>
    </row>
    <row r="435" spans="1:17" x14ac:dyDescent="0.2">
      <c r="A435" t="s">
        <v>499</v>
      </c>
      <c r="B435" t="s">
        <v>497</v>
      </c>
      <c r="C435">
        <v>2011</v>
      </c>
      <c r="D435" s="10">
        <v>1813361.0209999999</v>
      </c>
      <c r="E435" s="10">
        <v>1523606.7690000001</v>
      </c>
      <c r="F435" s="10">
        <v>289754.25199999998</v>
      </c>
      <c r="G435" s="8">
        <v>432</v>
      </c>
      <c r="H435" s="8">
        <v>338</v>
      </c>
      <c r="I435" s="8">
        <v>770</v>
      </c>
      <c r="J435" s="9">
        <v>28.35</v>
      </c>
      <c r="K435" s="9">
        <v>116.65</v>
      </c>
      <c r="L435" s="9">
        <v>42.46</v>
      </c>
      <c r="M435" s="9">
        <v>42.46</v>
      </c>
      <c r="N435">
        <v>84.02</v>
      </c>
      <c r="O435">
        <v>15.98</v>
      </c>
      <c r="P435">
        <v>38</v>
      </c>
      <c r="Q435">
        <v>72.5</v>
      </c>
    </row>
    <row r="436" spans="1:17" x14ac:dyDescent="0.2">
      <c r="A436" t="s">
        <v>500</v>
      </c>
      <c r="B436" t="s">
        <v>497</v>
      </c>
      <c r="C436">
        <v>2012</v>
      </c>
      <c r="D436" s="10">
        <v>1784919.76</v>
      </c>
      <c r="E436" s="10">
        <v>1500173.53</v>
      </c>
      <c r="F436" s="10">
        <v>284746.23</v>
      </c>
      <c r="G436" s="8">
        <v>432</v>
      </c>
      <c r="H436" s="8">
        <v>344.5</v>
      </c>
      <c r="I436" s="8">
        <v>776.5</v>
      </c>
      <c r="J436" s="9">
        <v>28.8</v>
      </c>
      <c r="K436" s="9">
        <v>120.98</v>
      </c>
      <c r="L436" s="9">
        <v>43.5</v>
      </c>
      <c r="M436" s="9">
        <v>43.5</v>
      </c>
      <c r="N436">
        <v>84.05</v>
      </c>
      <c r="O436">
        <v>15.95</v>
      </c>
      <c r="P436">
        <v>35</v>
      </c>
      <c r="Q436">
        <v>73</v>
      </c>
    </row>
    <row r="437" spans="1:17" x14ac:dyDescent="0.2">
      <c r="A437" t="s">
        <v>501</v>
      </c>
      <c r="B437" t="s">
        <v>497</v>
      </c>
      <c r="C437">
        <v>2013</v>
      </c>
      <c r="D437" s="10">
        <v>1866328.6810000001</v>
      </c>
      <c r="E437" s="10">
        <v>1561995.48</v>
      </c>
      <c r="F437" s="10">
        <v>304333.201</v>
      </c>
      <c r="G437" s="8">
        <v>432</v>
      </c>
      <c r="H437" s="8">
        <v>396</v>
      </c>
      <c r="I437" s="8">
        <v>828</v>
      </c>
      <c r="J437" s="9">
        <v>27.66</v>
      </c>
      <c r="K437" s="9">
        <v>130.12</v>
      </c>
      <c r="L437" s="9">
        <v>44.37</v>
      </c>
      <c r="M437" s="9">
        <v>44.37</v>
      </c>
      <c r="N437">
        <v>83.69</v>
      </c>
      <c r="O437">
        <v>16.309999999999999</v>
      </c>
      <c r="P437">
        <v>36.5</v>
      </c>
      <c r="Q437">
        <v>75.400000000000006</v>
      </c>
    </row>
    <row r="438" spans="1:17" x14ac:dyDescent="0.2">
      <c r="A438" t="s">
        <v>502</v>
      </c>
      <c r="B438" t="s">
        <v>497</v>
      </c>
      <c r="C438">
        <v>2014</v>
      </c>
      <c r="D438" s="10">
        <v>1921470.696</v>
      </c>
      <c r="E438" s="10">
        <v>1596866.8770000001</v>
      </c>
      <c r="F438" s="10">
        <v>324603.81900000002</v>
      </c>
      <c r="G438" s="8">
        <v>446</v>
      </c>
      <c r="H438" s="8">
        <v>344</v>
      </c>
      <c r="I438" s="8">
        <v>790</v>
      </c>
      <c r="J438" s="9">
        <v>27.93</v>
      </c>
      <c r="K438" s="9">
        <v>105.98</v>
      </c>
      <c r="L438" s="9">
        <v>41.11</v>
      </c>
      <c r="M438" s="9">
        <v>41.11</v>
      </c>
      <c r="N438">
        <v>83.11</v>
      </c>
      <c r="O438">
        <v>16.89</v>
      </c>
      <c r="P438">
        <v>33.9</v>
      </c>
      <c r="Q438">
        <v>72.400000000000006</v>
      </c>
    </row>
    <row r="439" spans="1:17" x14ac:dyDescent="0.2">
      <c r="A439" t="s">
        <v>503</v>
      </c>
      <c r="B439" t="s">
        <v>497</v>
      </c>
      <c r="C439">
        <v>2015</v>
      </c>
      <c r="D439" s="10">
        <v>1676935.9469999999</v>
      </c>
      <c r="E439" s="10">
        <v>1391975.5090000001</v>
      </c>
      <c r="F439" s="10">
        <v>284960.43800000002</v>
      </c>
      <c r="G439" s="8">
        <v>432</v>
      </c>
      <c r="H439" s="8">
        <v>408</v>
      </c>
      <c r="I439" s="8">
        <v>840</v>
      </c>
      <c r="J439" s="9">
        <v>31.04</v>
      </c>
      <c r="K439" s="9">
        <v>143.18</v>
      </c>
      <c r="L439" s="9">
        <v>50.09</v>
      </c>
      <c r="M439" s="9">
        <v>50.09</v>
      </c>
      <c r="N439">
        <v>83.01</v>
      </c>
      <c r="O439">
        <v>16.989999999999998</v>
      </c>
      <c r="P439">
        <v>31</v>
      </c>
      <c r="Q439">
        <v>71.599999999999994</v>
      </c>
    </row>
    <row r="440" spans="1:17" x14ac:dyDescent="0.2">
      <c r="A440" t="s">
        <v>504</v>
      </c>
      <c r="B440" t="s">
        <v>497</v>
      </c>
      <c r="C440">
        <v>2016</v>
      </c>
      <c r="D440" s="10">
        <v>1823728.423</v>
      </c>
      <c r="E440" s="10">
        <v>1504637.09</v>
      </c>
      <c r="F440" s="10">
        <v>319091.33299999998</v>
      </c>
      <c r="G440" s="8">
        <v>432</v>
      </c>
      <c r="H440" s="8">
        <v>306</v>
      </c>
      <c r="I440" s="8">
        <v>738</v>
      </c>
      <c r="J440" s="9">
        <v>28.71</v>
      </c>
      <c r="K440" s="9">
        <v>95.9</v>
      </c>
      <c r="L440" s="9">
        <v>40.47</v>
      </c>
      <c r="M440" s="9">
        <v>40.47</v>
      </c>
      <c r="N440">
        <v>82.5</v>
      </c>
      <c r="O440">
        <v>17.5</v>
      </c>
      <c r="P440">
        <v>31.3</v>
      </c>
      <c r="Q440">
        <v>72.599999999999994</v>
      </c>
    </row>
    <row r="441" spans="1:17" x14ac:dyDescent="0.2">
      <c r="A441" t="s">
        <v>505</v>
      </c>
      <c r="B441" t="s">
        <v>497</v>
      </c>
      <c r="C441">
        <v>2017</v>
      </c>
      <c r="D441" s="10">
        <v>1777619</v>
      </c>
      <c r="E441" s="10">
        <v>1454121</v>
      </c>
      <c r="F441" s="10">
        <v>323498</v>
      </c>
      <c r="G441" s="8">
        <v>432</v>
      </c>
      <c r="H441" s="8">
        <v>366</v>
      </c>
      <c r="I441" s="8">
        <v>798</v>
      </c>
      <c r="J441" s="9">
        <v>29.71</v>
      </c>
      <c r="K441" s="9">
        <v>113.14</v>
      </c>
      <c r="L441" s="9">
        <v>44.89</v>
      </c>
      <c r="M441" s="9">
        <v>44.89</v>
      </c>
      <c r="N441">
        <v>81.8</v>
      </c>
      <c r="O441">
        <v>18.2</v>
      </c>
      <c r="P441">
        <v>31.3</v>
      </c>
    </row>
    <row r="442" spans="1:17" x14ac:dyDescent="0.2">
      <c r="A442" t="s">
        <v>506</v>
      </c>
      <c r="B442" t="s">
        <v>507</v>
      </c>
      <c r="C442">
        <v>2009</v>
      </c>
      <c r="D442" s="10">
        <v>5601179.6459999997</v>
      </c>
      <c r="E442" s="10">
        <v>4861613.8310000002</v>
      </c>
      <c r="F442" s="11">
        <v>739565.81499999994</v>
      </c>
      <c r="G442" s="8">
        <v>445</v>
      </c>
      <c r="H442" s="8">
        <v>818</v>
      </c>
      <c r="I442" s="8">
        <v>1263</v>
      </c>
      <c r="J442" s="9">
        <v>9.15</v>
      </c>
      <c r="K442" s="9">
        <v>110.61</v>
      </c>
      <c r="L442" s="9">
        <v>22.55</v>
      </c>
      <c r="M442" s="9">
        <v>22.55</v>
      </c>
      <c r="N442">
        <v>86.8</v>
      </c>
      <c r="O442">
        <v>13.2</v>
      </c>
      <c r="Q442">
        <v>71.599999999999994</v>
      </c>
    </row>
    <row r="443" spans="1:17" x14ac:dyDescent="0.2">
      <c r="A443" t="s">
        <v>508</v>
      </c>
      <c r="B443" t="s">
        <v>507</v>
      </c>
      <c r="C443">
        <v>2010</v>
      </c>
      <c r="D443" s="10">
        <v>5600042.2039999999</v>
      </c>
      <c r="E443" s="10">
        <v>4854590.2450000001</v>
      </c>
      <c r="F443" s="10">
        <v>745451.95900000003</v>
      </c>
      <c r="G443" s="8">
        <v>432</v>
      </c>
      <c r="H443" s="8">
        <v>780</v>
      </c>
      <c r="I443" s="8">
        <v>1212</v>
      </c>
      <c r="J443" s="9">
        <v>8.9</v>
      </c>
      <c r="K443" s="9">
        <v>104.63</v>
      </c>
      <c r="L443" s="9">
        <v>21.64</v>
      </c>
      <c r="M443" s="9">
        <v>21.64</v>
      </c>
      <c r="N443">
        <v>86.69</v>
      </c>
      <c r="O443">
        <v>13.31</v>
      </c>
      <c r="P443">
        <v>33.1</v>
      </c>
      <c r="Q443">
        <v>66.3</v>
      </c>
    </row>
    <row r="444" spans="1:17" x14ac:dyDescent="0.2">
      <c r="A444" t="s">
        <v>509</v>
      </c>
      <c r="B444" t="s">
        <v>507</v>
      </c>
      <c r="C444">
        <v>2011</v>
      </c>
      <c r="D444" s="10">
        <v>5450478.9230000004</v>
      </c>
      <c r="E444" s="10">
        <v>4716640.6969999997</v>
      </c>
      <c r="F444" s="10">
        <v>733838.22600000002</v>
      </c>
      <c r="G444" s="8">
        <v>432</v>
      </c>
      <c r="H444" s="8">
        <v>846.5</v>
      </c>
      <c r="I444" s="8">
        <v>1278.5</v>
      </c>
      <c r="J444" s="9">
        <v>9.16</v>
      </c>
      <c r="K444" s="9">
        <v>115.35</v>
      </c>
      <c r="L444" s="9">
        <v>23.46</v>
      </c>
      <c r="M444" s="9">
        <v>23.46</v>
      </c>
      <c r="N444">
        <v>86.54</v>
      </c>
      <c r="O444">
        <v>13.46</v>
      </c>
      <c r="P444">
        <v>34.1</v>
      </c>
      <c r="Q444">
        <v>54.9</v>
      </c>
    </row>
    <row r="445" spans="1:17" x14ac:dyDescent="0.2">
      <c r="A445" t="s">
        <v>510</v>
      </c>
      <c r="B445" t="s">
        <v>507</v>
      </c>
      <c r="C445">
        <v>2012</v>
      </c>
      <c r="D445" s="10">
        <v>5970660.4649999999</v>
      </c>
      <c r="E445" s="11">
        <v>5148452.5939999996</v>
      </c>
      <c r="F445" s="10">
        <v>822207.87100000004</v>
      </c>
      <c r="G445" s="8">
        <v>432</v>
      </c>
      <c r="H445" s="8">
        <v>880.5</v>
      </c>
      <c r="I445" s="8">
        <v>1312.5</v>
      </c>
      <c r="J445" s="9">
        <v>8.39</v>
      </c>
      <c r="K445" s="9">
        <v>107.09</v>
      </c>
      <c r="L445" s="9">
        <v>21.98</v>
      </c>
      <c r="M445" s="9">
        <v>21.98</v>
      </c>
      <c r="N445">
        <v>86.23</v>
      </c>
      <c r="O445">
        <v>13.77</v>
      </c>
      <c r="P445">
        <v>30</v>
      </c>
      <c r="Q445">
        <v>55.5</v>
      </c>
    </row>
    <row r="446" spans="1:17" x14ac:dyDescent="0.2">
      <c r="A446" t="s">
        <v>511</v>
      </c>
      <c r="B446" t="s">
        <v>507</v>
      </c>
      <c r="C446">
        <v>2013</v>
      </c>
      <c r="D446" s="11">
        <v>5598858.25699999</v>
      </c>
      <c r="E446" s="10">
        <v>4820598.8480000002</v>
      </c>
      <c r="F446" s="10">
        <v>778259.40899999999</v>
      </c>
      <c r="G446" s="8">
        <v>447</v>
      </c>
      <c r="H446" s="8">
        <v>976</v>
      </c>
      <c r="I446" s="8">
        <v>1423</v>
      </c>
      <c r="J446" s="9">
        <v>9.27</v>
      </c>
      <c r="K446" s="9">
        <v>125.41</v>
      </c>
      <c r="L446" s="9">
        <v>25.42</v>
      </c>
      <c r="M446" s="9">
        <v>25.42</v>
      </c>
      <c r="N446">
        <v>86.1</v>
      </c>
      <c r="O446">
        <v>13.9</v>
      </c>
      <c r="P446">
        <v>27.2</v>
      </c>
      <c r="Q446">
        <v>56.7</v>
      </c>
    </row>
    <row r="447" spans="1:17" x14ac:dyDescent="0.2">
      <c r="A447" t="s">
        <v>512</v>
      </c>
      <c r="B447" t="s">
        <v>507</v>
      </c>
      <c r="C447">
        <v>2014</v>
      </c>
      <c r="D447" s="11">
        <v>5680418.0199999996</v>
      </c>
      <c r="E447" s="10">
        <v>4866136.216</v>
      </c>
      <c r="F447" s="10">
        <v>814281.804</v>
      </c>
      <c r="G447" s="8">
        <v>458</v>
      </c>
      <c r="H447" s="8">
        <v>837.5</v>
      </c>
      <c r="I447" s="8">
        <v>1295.5</v>
      </c>
      <c r="J447" s="9">
        <v>9.41</v>
      </c>
      <c r="K447" s="9">
        <v>102.85</v>
      </c>
      <c r="L447" s="9">
        <v>22.81</v>
      </c>
      <c r="M447" s="9">
        <v>22.81</v>
      </c>
      <c r="N447">
        <v>85.67</v>
      </c>
      <c r="O447">
        <v>14.33</v>
      </c>
      <c r="P447">
        <v>28.7</v>
      </c>
      <c r="Q447">
        <v>57.2</v>
      </c>
    </row>
    <row r="448" spans="1:17" x14ac:dyDescent="0.2">
      <c r="A448" t="s">
        <v>513</v>
      </c>
      <c r="B448" t="s">
        <v>507</v>
      </c>
      <c r="C448">
        <v>2015</v>
      </c>
      <c r="D448" s="10">
        <v>5704530.3459999999</v>
      </c>
      <c r="E448" s="10">
        <v>4865067.37</v>
      </c>
      <c r="F448" s="10">
        <v>839462.97600000002</v>
      </c>
      <c r="G448" s="8">
        <v>432</v>
      </c>
      <c r="H448" s="8">
        <v>925.5</v>
      </c>
      <c r="I448" s="8">
        <v>1357.5</v>
      </c>
      <c r="J448" s="9">
        <v>8.8800000000000008</v>
      </c>
      <c r="K448" s="9">
        <v>110.25</v>
      </c>
      <c r="L448" s="9">
        <v>23.8</v>
      </c>
      <c r="M448" s="9">
        <v>23.8</v>
      </c>
      <c r="N448">
        <v>85.28</v>
      </c>
      <c r="O448">
        <v>14.72</v>
      </c>
      <c r="P448">
        <v>29.7</v>
      </c>
      <c r="Q448">
        <v>49.9</v>
      </c>
    </row>
    <row r="449" spans="1:17" x14ac:dyDescent="0.2">
      <c r="A449" t="s">
        <v>514</v>
      </c>
      <c r="B449" t="s">
        <v>507</v>
      </c>
      <c r="C449">
        <v>2016</v>
      </c>
      <c r="D449" s="10">
        <v>5692870.4859999996</v>
      </c>
      <c r="E449" s="10">
        <v>4838087.54</v>
      </c>
      <c r="F449" s="10">
        <v>854782.946</v>
      </c>
      <c r="G449" s="8">
        <v>458</v>
      </c>
      <c r="H449" s="8">
        <v>714.5</v>
      </c>
      <c r="I449" s="8">
        <v>1172.5</v>
      </c>
      <c r="J449" s="9">
        <v>9.4700000000000006</v>
      </c>
      <c r="K449" s="9">
        <v>83.59</v>
      </c>
      <c r="L449" s="9">
        <v>20.6</v>
      </c>
      <c r="M449" s="9">
        <v>20.6</v>
      </c>
      <c r="N449">
        <v>84.99</v>
      </c>
      <c r="O449">
        <v>15.01</v>
      </c>
      <c r="P449">
        <v>28</v>
      </c>
      <c r="Q449">
        <v>55.7</v>
      </c>
    </row>
    <row r="450" spans="1:17" x14ac:dyDescent="0.2">
      <c r="A450" t="s">
        <v>515</v>
      </c>
      <c r="B450" t="s">
        <v>507</v>
      </c>
      <c r="C450">
        <v>2017</v>
      </c>
      <c r="D450" s="10">
        <v>5832175</v>
      </c>
      <c r="E450" s="10">
        <v>4923416</v>
      </c>
      <c r="F450" s="10">
        <v>908759</v>
      </c>
      <c r="G450" s="8">
        <v>446</v>
      </c>
      <c r="H450" s="8">
        <v>833</v>
      </c>
      <c r="I450" s="8">
        <v>1279</v>
      </c>
      <c r="J450" s="9">
        <v>9.06</v>
      </c>
      <c r="K450" s="9">
        <v>91.66</v>
      </c>
      <c r="L450" s="9">
        <v>21.93</v>
      </c>
      <c r="M450" s="9">
        <v>21.93</v>
      </c>
      <c r="N450">
        <v>84.42</v>
      </c>
      <c r="O450">
        <v>15.58</v>
      </c>
      <c r="P450">
        <v>23.6</v>
      </c>
    </row>
    <row r="451" spans="1:17" x14ac:dyDescent="0.2">
      <c r="A451" t="s">
        <v>516</v>
      </c>
      <c r="B451" t="s">
        <v>517</v>
      </c>
      <c r="C451">
        <v>2009</v>
      </c>
      <c r="D451" s="10">
        <v>519587.85399999999</v>
      </c>
      <c r="E451" s="10">
        <v>457102.01400000002</v>
      </c>
      <c r="F451" s="10">
        <v>62485.84</v>
      </c>
      <c r="G451" s="8">
        <v>432</v>
      </c>
      <c r="H451" s="8">
        <v>167.5</v>
      </c>
      <c r="I451" s="8">
        <v>599.5</v>
      </c>
      <c r="J451" s="9">
        <v>94.51</v>
      </c>
      <c r="K451" s="9">
        <v>268.06</v>
      </c>
      <c r="L451" s="9">
        <v>115.38</v>
      </c>
      <c r="M451" s="9">
        <v>115.38</v>
      </c>
      <c r="N451">
        <v>87.97</v>
      </c>
      <c r="O451">
        <v>12.03</v>
      </c>
      <c r="Q451">
        <v>72.400000000000006</v>
      </c>
    </row>
    <row r="452" spans="1:17" x14ac:dyDescent="0.2">
      <c r="A452" t="s">
        <v>518</v>
      </c>
      <c r="B452" t="s">
        <v>517</v>
      </c>
      <c r="C452">
        <v>2010</v>
      </c>
      <c r="D452" s="11">
        <v>600499.78799999994</v>
      </c>
      <c r="E452" s="11">
        <v>525307.34</v>
      </c>
      <c r="F452" s="10">
        <v>75192.448000000004</v>
      </c>
      <c r="G452" s="8">
        <v>432</v>
      </c>
      <c r="H452" s="8">
        <v>167.5</v>
      </c>
      <c r="I452" s="8">
        <v>599.5</v>
      </c>
      <c r="J452" s="9">
        <v>82.24</v>
      </c>
      <c r="K452" s="9">
        <v>222.76</v>
      </c>
      <c r="L452" s="9">
        <v>99.83</v>
      </c>
      <c r="M452" s="9">
        <v>99.83</v>
      </c>
      <c r="N452">
        <v>87.48</v>
      </c>
      <c r="O452">
        <v>12.52</v>
      </c>
      <c r="P452">
        <v>31.8</v>
      </c>
      <c r="Q452">
        <v>62.6</v>
      </c>
    </row>
    <row r="453" spans="1:17" x14ac:dyDescent="0.2">
      <c r="A453" t="s">
        <v>519</v>
      </c>
      <c r="B453" t="s">
        <v>517</v>
      </c>
      <c r="C453">
        <v>2011</v>
      </c>
      <c r="D453" s="10">
        <v>634006.21100000001</v>
      </c>
      <c r="E453" s="10">
        <v>557582.93900000001</v>
      </c>
      <c r="F453" s="10">
        <v>76423.271999999997</v>
      </c>
      <c r="G453" s="8">
        <v>432</v>
      </c>
      <c r="H453" s="8">
        <v>175</v>
      </c>
      <c r="I453" s="8">
        <v>607</v>
      </c>
      <c r="J453" s="9">
        <v>77.48</v>
      </c>
      <c r="K453" s="9">
        <v>228.99</v>
      </c>
      <c r="L453" s="9">
        <v>95.74</v>
      </c>
      <c r="M453" s="9">
        <v>95.74</v>
      </c>
      <c r="N453">
        <v>87.95</v>
      </c>
      <c r="O453">
        <v>12.05</v>
      </c>
      <c r="P453">
        <v>30</v>
      </c>
      <c r="Q453">
        <v>58.7</v>
      </c>
    </row>
    <row r="454" spans="1:17" x14ac:dyDescent="0.2">
      <c r="A454" t="s">
        <v>520</v>
      </c>
      <c r="B454" t="s">
        <v>517</v>
      </c>
      <c r="C454">
        <v>2012</v>
      </c>
      <c r="D454" s="10">
        <v>717197.179</v>
      </c>
      <c r="E454" s="10">
        <v>623814.67299999995</v>
      </c>
      <c r="F454" s="10">
        <v>93382.505999999994</v>
      </c>
      <c r="G454" s="8">
        <v>432</v>
      </c>
      <c r="H454" s="8">
        <v>162</v>
      </c>
      <c r="I454" s="8">
        <v>594</v>
      </c>
      <c r="J454" s="9">
        <v>69.25</v>
      </c>
      <c r="K454" s="9">
        <v>173.48</v>
      </c>
      <c r="L454" s="9">
        <v>82.82</v>
      </c>
      <c r="M454" s="9">
        <v>82.82</v>
      </c>
      <c r="N454">
        <v>86.98</v>
      </c>
      <c r="O454">
        <v>13.02</v>
      </c>
      <c r="P454">
        <v>27.4</v>
      </c>
      <c r="Q454">
        <v>62.9</v>
      </c>
    </row>
    <row r="455" spans="1:17" x14ac:dyDescent="0.2">
      <c r="A455" t="s">
        <v>521</v>
      </c>
      <c r="B455" t="s">
        <v>517</v>
      </c>
      <c r="C455">
        <v>2013</v>
      </c>
      <c r="D455" s="10">
        <v>566868.68599999999</v>
      </c>
      <c r="E455" s="10">
        <v>493838.82900000003</v>
      </c>
      <c r="F455" s="10">
        <v>73029.857000000004</v>
      </c>
      <c r="G455" s="8">
        <v>432</v>
      </c>
      <c r="H455" s="8">
        <v>169.5</v>
      </c>
      <c r="I455" s="8">
        <v>601.5</v>
      </c>
      <c r="J455" s="9">
        <v>87.48</v>
      </c>
      <c r="K455" s="9">
        <v>232.1</v>
      </c>
      <c r="L455" s="9">
        <v>106.11</v>
      </c>
      <c r="M455" s="9">
        <v>106.11</v>
      </c>
      <c r="N455">
        <v>87.12</v>
      </c>
      <c r="O455">
        <v>12.88</v>
      </c>
      <c r="P455">
        <v>26.7</v>
      </c>
      <c r="Q455">
        <v>61.6</v>
      </c>
    </row>
    <row r="456" spans="1:17" x14ac:dyDescent="0.2">
      <c r="A456" t="s">
        <v>522</v>
      </c>
      <c r="B456" t="s">
        <v>517</v>
      </c>
      <c r="C456">
        <v>2014</v>
      </c>
      <c r="D456" s="10">
        <v>654273.52899999998</v>
      </c>
      <c r="E456" s="10">
        <v>564826.75300000003</v>
      </c>
      <c r="F456" s="10">
        <v>89446.775999999998</v>
      </c>
      <c r="G456" s="8">
        <v>432</v>
      </c>
      <c r="H456" s="8">
        <v>162</v>
      </c>
      <c r="I456" s="8">
        <v>594</v>
      </c>
      <c r="J456" s="9">
        <v>76.48</v>
      </c>
      <c r="K456" s="9">
        <v>181.11</v>
      </c>
      <c r="L456" s="9">
        <v>90.79</v>
      </c>
      <c r="M456" s="9">
        <v>90.79</v>
      </c>
      <c r="N456">
        <v>86.33</v>
      </c>
      <c r="O456">
        <v>13.67</v>
      </c>
      <c r="P456">
        <v>28.3</v>
      </c>
      <c r="Q456">
        <v>60.6</v>
      </c>
    </row>
    <row r="457" spans="1:17" x14ac:dyDescent="0.2">
      <c r="A457" t="s">
        <v>523</v>
      </c>
      <c r="B457" t="s">
        <v>517</v>
      </c>
      <c r="C457">
        <v>2015</v>
      </c>
      <c r="D457" s="10">
        <v>606476.83100000001</v>
      </c>
      <c r="E457" s="10">
        <v>524004.95199999999</v>
      </c>
      <c r="F457" s="10">
        <v>82471.879000000001</v>
      </c>
      <c r="G457" s="8">
        <v>432</v>
      </c>
      <c r="H457" s="8">
        <v>162</v>
      </c>
      <c r="I457" s="8">
        <v>594</v>
      </c>
      <c r="J457" s="9">
        <v>82.44</v>
      </c>
      <c r="K457" s="9">
        <v>196.43</v>
      </c>
      <c r="L457" s="9">
        <v>97.94</v>
      </c>
      <c r="M457" s="9">
        <v>97.94</v>
      </c>
      <c r="N457">
        <v>86.4</v>
      </c>
      <c r="O457">
        <v>13.6</v>
      </c>
      <c r="P457">
        <v>27.2</v>
      </c>
      <c r="Q457">
        <v>61.9</v>
      </c>
    </row>
    <row r="458" spans="1:17" x14ac:dyDescent="0.2">
      <c r="A458" t="s">
        <v>524</v>
      </c>
      <c r="B458" t="s">
        <v>517</v>
      </c>
      <c r="C458">
        <v>2016</v>
      </c>
      <c r="D458" s="10">
        <v>539605.16399999999</v>
      </c>
      <c r="E458" s="10">
        <v>459544.61900000001</v>
      </c>
      <c r="F458" s="10">
        <v>80060.544999999998</v>
      </c>
      <c r="G458" s="8">
        <v>432</v>
      </c>
      <c r="H458" s="8">
        <v>162</v>
      </c>
      <c r="I458" s="8">
        <v>594</v>
      </c>
      <c r="J458" s="9">
        <v>94.01</v>
      </c>
      <c r="K458" s="9">
        <v>202.35</v>
      </c>
      <c r="L458" s="9">
        <v>110.08</v>
      </c>
      <c r="M458" s="9">
        <v>110.08</v>
      </c>
      <c r="N458">
        <v>85.16</v>
      </c>
      <c r="O458">
        <v>14.84</v>
      </c>
      <c r="P458">
        <v>28</v>
      </c>
      <c r="Q458">
        <v>59</v>
      </c>
    </row>
    <row r="459" spans="1:17" x14ac:dyDescent="0.2">
      <c r="A459" t="s">
        <v>525</v>
      </c>
      <c r="B459" t="s">
        <v>517</v>
      </c>
      <c r="C459">
        <v>2017</v>
      </c>
      <c r="D459" s="10">
        <v>628165</v>
      </c>
      <c r="E459" s="10">
        <v>535415</v>
      </c>
      <c r="F459" s="10">
        <v>92750</v>
      </c>
      <c r="G459" s="8">
        <v>432</v>
      </c>
      <c r="H459" s="8">
        <v>175</v>
      </c>
      <c r="I459" s="8">
        <v>607</v>
      </c>
      <c r="J459" s="9">
        <v>80.69</v>
      </c>
      <c r="K459" s="9">
        <v>188.68</v>
      </c>
      <c r="L459" s="9">
        <v>96.63</v>
      </c>
      <c r="M459" s="9">
        <v>96.63</v>
      </c>
      <c r="N459">
        <v>85.23</v>
      </c>
      <c r="O459">
        <v>14.77</v>
      </c>
      <c r="P459">
        <v>24.8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766E-8635-D144-996F-09B428AD2B28}">
  <dimension ref="A1:C8"/>
  <sheetViews>
    <sheetView workbookViewId="0">
      <selection activeCell="L16" sqref="L16"/>
    </sheetView>
  </sheetViews>
  <sheetFormatPr baseColWidth="10" defaultRowHeight="16" x14ac:dyDescent="0.2"/>
  <cols>
    <col min="1" max="1" width="17" bestFit="1" customWidth="1"/>
    <col min="2" max="2" width="9" bestFit="1" customWidth="1"/>
    <col min="3" max="3" width="13.1640625" bestFit="1" customWidth="1"/>
  </cols>
  <sheetData>
    <row r="1" spans="1:3" x14ac:dyDescent="0.2">
      <c r="A1" s="1" t="s">
        <v>526</v>
      </c>
      <c r="B1" s="1" t="s">
        <v>527</v>
      </c>
      <c r="C1" s="1" t="s">
        <v>528</v>
      </c>
    </row>
    <row r="2" spans="1:3" x14ac:dyDescent="0.2">
      <c r="A2" t="s">
        <v>529</v>
      </c>
      <c r="B2">
        <f>COUNTIFS(intermediate_workbook_COMPLETE!$H:$H,"&gt;=0",intermediate_workbook_COMPLETE!$H:$H,"&lt;=500")</f>
        <v>191</v>
      </c>
      <c r="C2">
        <f>COUNTIFS(intermediate_workbook_COMPLETE!G:G,"&gt;=0",intermediate_workbook_COMPLETE!G:G,"&lt;=500")</f>
        <v>358</v>
      </c>
    </row>
    <row r="3" spans="1:3" x14ac:dyDescent="0.2">
      <c r="A3" t="s">
        <v>530</v>
      </c>
      <c r="B3">
        <f>COUNTIFS(intermediate_workbook_COMPLETE!H:H,"&gt;=501",intermediate_workbook_COMPLETE!H:H,"&lt;=1000")</f>
        <v>136</v>
      </c>
      <c r="C3">
        <f>COUNTIFS(intermediate_workbook_COMPLETE!G:G,"&gt;=501",intermediate_workbook_COMPLETE!G:G,"&lt;=1000")</f>
        <v>93</v>
      </c>
    </row>
    <row r="4" spans="1:3" x14ac:dyDescent="0.2">
      <c r="A4" t="s">
        <v>531</v>
      </c>
      <c r="B4">
        <f>COUNTIFS(intermediate_workbook_COMPLETE!H:H,"&gt;=1001",intermediate_workbook_COMPLETE!H:H,"&lt;=1500")</f>
        <v>59</v>
      </c>
      <c r="C4">
        <f>COUNTIFS(intermediate_workbook_COMPLETE!G:G,"&gt;=1001",intermediate_workbook_COMPLETE!G:G,"&lt;=1500")</f>
        <v>7</v>
      </c>
    </row>
    <row r="5" spans="1:3" x14ac:dyDescent="0.2">
      <c r="A5" t="s">
        <v>532</v>
      </c>
      <c r="B5">
        <f>COUNTIFS(intermediate_workbook_COMPLETE!H:H,"&gt;=1501",intermediate_workbook_COMPLETE!H:H,"&lt;=2000")</f>
        <v>22</v>
      </c>
      <c r="C5">
        <f>COUNTIFS(intermediate_workbook_COMPLETE!G:G,"&gt;=1501",intermediate_workbook_COMPLETE!G:G,"&lt;=2000")</f>
        <v>0</v>
      </c>
    </row>
    <row r="6" spans="1:3" x14ac:dyDescent="0.2">
      <c r="A6" t="s">
        <v>533</v>
      </c>
      <c r="B6">
        <f>COUNTIFS(intermediate_workbook_COMPLETE!H:H,"&gt;=2001",intermediate_workbook_COMPLETE!H:H,"&lt;=2500")</f>
        <v>25</v>
      </c>
      <c r="C6">
        <f>COUNTIFS(intermediate_workbook_COMPLETE!G:G,"&gt;=2001",intermediate_workbook_COMPLETE!G:G,"&lt;=2500")</f>
        <v>0</v>
      </c>
    </row>
    <row r="7" spans="1:3" x14ac:dyDescent="0.2">
      <c r="A7" t="s">
        <v>534</v>
      </c>
      <c r="B7">
        <f>COUNTIFS(intermediate_workbook_COMPLETE!H:H,"&gt;=2501",intermediate_workbook_COMPLETE!H:H,"&lt;=3000")</f>
        <v>7</v>
      </c>
      <c r="C7">
        <f>COUNTIFS(intermediate_workbook_COMPLETE!G:G,"&gt;=2501",intermediate_workbook_COMPLETE!G:G,"&lt;=3000")</f>
        <v>0</v>
      </c>
    </row>
    <row r="8" spans="1:3" x14ac:dyDescent="0.2">
      <c r="A8" t="s">
        <v>535</v>
      </c>
      <c r="B8">
        <f>COUNTIF(intermediate_workbook_COMPLETE!H:H,"&gt;=3000")</f>
        <v>18</v>
      </c>
      <c r="C8">
        <f>COUNTIF(intermediate_workbook_COMPLETE!G:G,"&gt;=3000")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4BC7D-DFB6-CD41-A0B3-98157956DC22}">
  <dimension ref="A1:B459"/>
  <sheetViews>
    <sheetView topLeftCell="E8" zoomScale="107" zoomScaleNormal="180" workbookViewId="0">
      <selection activeCell="Q15" sqref="Q15"/>
    </sheetView>
  </sheetViews>
  <sheetFormatPr baseColWidth="10" defaultRowHeight="16" x14ac:dyDescent="0.2"/>
  <cols>
    <col min="1" max="1" width="15.6640625" bestFit="1" customWidth="1"/>
    <col min="2" max="2" width="14.5" bestFit="1" customWidth="1"/>
  </cols>
  <sheetData>
    <row r="1" spans="1:2" x14ac:dyDescent="0.2">
      <c r="A1" s="12" t="s">
        <v>528</v>
      </c>
      <c r="B1" s="12" t="s">
        <v>527</v>
      </c>
    </row>
    <row r="2" spans="1:2" x14ac:dyDescent="0.2">
      <c r="A2" s="13">
        <v>464.5</v>
      </c>
      <c r="B2" s="13">
        <v>727</v>
      </c>
    </row>
    <row r="3" spans="1:2" x14ac:dyDescent="0.2">
      <c r="A3" s="13">
        <v>464.5</v>
      </c>
      <c r="B3" s="13">
        <v>763</v>
      </c>
    </row>
    <row r="4" spans="1:2" x14ac:dyDescent="0.2">
      <c r="A4" s="13">
        <v>443</v>
      </c>
      <c r="B4" s="13">
        <v>769.5</v>
      </c>
    </row>
    <row r="5" spans="1:2" x14ac:dyDescent="0.2">
      <c r="A5" s="13">
        <v>448</v>
      </c>
      <c r="B5" s="13">
        <v>754</v>
      </c>
    </row>
    <row r="6" spans="1:2" x14ac:dyDescent="0.2">
      <c r="A6" s="13">
        <v>499</v>
      </c>
      <c r="B6" s="13">
        <v>789.5</v>
      </c>
    </row>
    <row r="7" spans="1:2" x14ac:dyDescent="0.2">
      <c r="A7" s="13">
        <v>510</v>
      </c>
      <c r="B7" s="13">
        <v>782</v>
      </c>
    </row>
    <row r="8" spans="1:2" x14ac:dyDescent="0.2">
      <c r="A8" s="13">
        <v>498</v>
      </c>
      <c r="B8" s="13">
        <v>884</v>
      </c>
    </row>
    <row r="9" spans="1:2" x14ac:dyDescent="0.2">
      <c r="A9" s="13">
        <v>509.5</v>
      </c>
      <c r="B9" s="13">
        <v>757</v>
      </c>
    </row>
    <row r="10" spans="1:2" x14ac:dyDescent="0.2">
      <c r="A10" s="13">
        <v>500</v>
      </c>
      <c r="B10" s="13">
        <v>940</v>
      </c>
    </row>
    <row r="11" spans="1:2" x14ac:dyDescent="0.2">
      <c r="A11" s="13">
        <v>432</v>
      </c>
      <c r="B11" s="13">
        <v>162</v>
      </c>
    </row>
    <row r="12" spans="1:2" x14ac:dyDescent="0.2">
      <c r="A12" s="13">
        <v>432</v>
      </c>
      <c r="B12" s="13">
        <v>162</v>
      </c>
    </row>
    <row r="13" spans="1:2" x14ac:dyDescent="0.2">
      <c r="A13" s="13">
        <v>432</v>
      </c>
      <c r="B13" s="13">
        <v>162</v>
      </c>
    </row>
    <row r="14" spans="1:2" x14ac:dyDescent="0.2">
      <c r="A14" s="13">
        <v>432</v>
      </c>
      <c r="B14" s="13">
        <v>162</v>
      </c>
    </row>
    <row r="15" spans="1:2" x14ac:dyDescent="0.2">
      <c r="A15" s="13">
        <v>432</v>
      </c>
      <c r="B15" s="13">
        <v>162</v>
      </c>
    </row>
    <row r="16" spans="1:2" x14ac:dyDescent="0.2">
      <c r="A16" s="13">
        <v>432</v>
      </c>
      <c r="B16" s="13">
        <v>162</v>
      </c>
    </row>
    <row r="17" spans="1:2" x14ac:dyDescent="0.2">
      <c r="A17" s="13">
        <v>432</v>
      </c>
      <c r="B17" s="13">
        <v>162</v>
      </c>
    </row>
    <row r="18" spans="1:2" x14ac:dyDescent="0.2">
      <c r="A18" s="13">
        <v>432</v>
      </c>
      <c r="B18" s="13">
        <v>162</v>
      </c>
    </row>
    <row r="19" spans="1:2" x14ac:dyDescent="0.2">
      <c r="A19" s="13">
        <v>432</v>
      </c>
      <c r="B19" s="13">
        <v>162</v>
      </c>
    </row>
    <row r="20" spans="1:2" x14ac:dyDescent="0.2">
      <c r="A20" s="13">
        <v>478.5</v>
      </c>
      <c r="B20" s="13">
        <v>788</v>
      </c>
    </row>
    <row r="21" spans="1:2" x14ac:dyDescent="0.2">
      <c r="A21" s="13">
        <v>449</v>
      </c>
      <c r="B21" s="13">
        <v>596</v>
      </c>
    </row>
    <row r="22" spans="1:2" x14ac:dyDescent="0.2">
      <c r="A22" s="13">
        <v>437.5</v>
      </c>
      <c r="B22" s="13">
        <v>558</v>
      </c>
    </row>
    <row r="23" spans="1:2" x14ac:dyDescent="0.2">
      <c r="A23" s="13">
        <v>438.5</v>
      </c>
      <c r="B23" s="13">
        <v>552</v>
      </c>
    </row>
    <row r="24" spans="1:2" x14ac:dyDescent="0.2">
      <c r="A24" s="13">
        <v>437.5</v>
      </c>
      <c r="B24" s="13">
        <v>628</v>
      </c>
    </row>
    <row r="25" spans="1:2" x14ac:dyDescent="0.2">
      <c r="A25" s="13">
        <v>472</v>
      </c>
      <c r="B25" s="13">
        <v>584.5</v>
      </c>
    </row>
    <row r="26" spans="1:2" x14ac:dyDescent="0.2">
      <c r="A26" s="13">
        <v>439.5</v>
      </c>
      <c r="B26" s="13">
        <v>632</v>
      </c>
    </row>
    <row r="27" spans="1:2" x14ac:dyDescent="0.2">
      <c r="A27" s="13">
        <v>502.5</v>
      </c>
      <c r="B27" s="13">
        <v>667</v>
      </c>
    </row>
    <row r="28" spans="1:2" x14ac:dyDescent="0.2">
      <c r="A28" s="13">
        <v>453</v>
      </c>
      <c r="B28" s="13">
        <v>693</v>
      </c>
    </row>
    <row r="29" spans="1:2" x14ac:dyDescent="0.2">
      <c r="A29" s="13">
        <v>437.5</v>
      </c>
      <c r="B29" s="13">
        <v>547.5</v>
      </c>
    </row>
    <row r="30" spans="1:2" x14ac:dyDescent="0.2">
      <c r="A30" s="13">
        <v>432</v>
      </c>
      <c r="B30" s="13">
        <v>516</v>
      </c>
    </row>
    <row r="31" spans="1:2" x14ac:dyDescent="0.2">
      <c r="A31" s="13">
        <v>438.5</v>
      </c>
      <c r="B31" s="13">
        <v>608</v>
      </c>
    </row>
    <row r="32" spans="1:2" x14ac:dyDescent="0.2">
      <c r="A32" s="13">
        <v>437.5</v>
      </c>
      <c r="B32" s="13">
        <v>590</v>
      </c>
    </row>
    <row r="33" spans="1:2" x14ac:dyDescent="0.2">
      <c r="A33" s="13">
        <v>432</v>
      </c>
      <c r="B33" s="13">
        <v>650.5</v>
      </c>
    </row>
    <row r="34" spans="1:2" x14ac:dyDescent="0.2">
      <c r="A34" s="13">
        <v>461.5</v>
      </c>
      <c r="B34" s="13">
        <v>530</v>
      </c>
    </row>
    <row r="35" spans="1:2" x14ac:dyDescent="0.2">
      <c r="A35" s="13">
        <v>432</v>
      </c>
      <c r="B35" s="13">
        <v>552.5</v>
      </c>
    </row>
    <row r="36" spans="1:2" x14ac:dyDescent="0.2">
      <c r="A36" s="13">
        <v>432</v>
      </c>
      <c r="B36" s="13">
        <v>518</v>
      </c>
    </row>
    <row r="37" spans="1:2" x14ac:dyDescent="0.2">
      <c r="A37" s="13">
        <v>438.5</v>
      </c>
      <c r="B37" s="13">
        <v>576</v>
      </c>
    </row>
    <row r="38" spans="1:2" x14ac:dyDescent="0.2">
      <c r="A38" s="13">
        <v>1311.5</v>
      </c>
      <c r="B38" s="13">
        <v>5197</v>
      </c>
    </row>
    <row r="39" spans="1:2" x14ac:dyDescent="0.2">
      <c r="A39" s="13">
        <v>836</v>
      </c>
      <c r="B39" s="13">
        <v>5229</v>
      </c>
    </row>
    <row r="40" spans="1:2" x14ac:dyDescent="0.2">
      <c r="A40" s="13">
        <v>1018.5</v>
      </c>
      <c r="B40" s="13">
        <v>5338</v>
      </c>
    </row>
    <row r="41" spans="1:2" x14ac:dyDescent="0.2">
      <c r="A41" s="13">
        <v>900.5</v>
      </c>
      <c r="B41" s="13">
        <v>5119</v>
      </c>
    </row>
    <row r="42" spans="1:2" x14ac:dyDescent="0.2">
      <c r="A42" s="13">
        <v>1021.5</v>
      </c>
      <c r="B42" s="13">
        <v>5694</v>
      </c>
    </row>
    <row r="43" spans="1:2" x14ac:dyDescent="0.2">
      <c r="A43" s="13">
        <v>1267.5</v>
      </c>
      <c r="B43" s="13">
        <v>4888</v>
      </c>
    </row>
    <row r="44" spans="1:2" x14ac:dyDescent="0.2">
      <c r="A44" s="13">
        <v>944</v>
      </c>
      <c r="B44" s="13">
        <v>5423</v>
      </c>
    </row>
    <row r="45" spans="1:2" x14ac:dyDescent="0.2">
      <c r="A45" s="13">
        <v>1052.5</v>
      </c>
      <c r="B45" s="13">
        <v>5085</v>
      </c>
    </row>
    <row r="46" spans="1:2" x14ac:dyDescent="0.2">
      <c r="A46" s="13">
        <v>1011</v>
      </c>
      <c r="B46" s="13">
        <v>5510</v>
      </c>
    </row>
    <row r="47" spans="1:2" x14ac:dyDescent="0.2">
      <c r="A47" s="13">
        <v>457.5</v>
      </c>
      <c r="B47" s="13">
        <v>474</v>
      </c>
    </row>
    <row r="48" spans="1:2" x14ac:dyDescent="0.2">
      <c r="A48" s="13">
        <v>432</v>
      </c>
      <c r="B48" s="13">
        <v>448</v>
      </c>
    </row>
    <row r="49" spans="1:2" x14ac:dyDescent="0.2">
      <c r="A49" s="13">
        <v>432</v>
      </c>
      <c r="B49" s="13">
        <v>471</v>
      </c>
    </row>
    <row r="50" spans="1:2" x14ac:dyDescent="0.2">
      <c r="A50" s="13">
        <v>432</v>
      </c>
      <c r="B50" s="13">
        <v>442.5</v>
      </c>
    </row>
    <row r="51" spans="1:2" x14ac:dyDescent="0.2">
      <c r="A51" s="13">
        <v>445</v>
      </c>
      <c r="B51" s="13">
        <v>451.5</v>
      </c>
    </row>
    <row r="52" spans="1:2" x14ac:dyDescent="0.2">
      <c r="A52" s="13">
        <v>456</v>
      </c>
      <c r="B52" s="13">
        <v>494.5</v>
      </c>
    </row>
    <row r="53" spans="1:2" x14ac:dyDescent="0.2">
      <c r="A53" s="13">
        <v>432</v>
      </c>
      <c r="B53" s="13">
        <v>516.5</v>
      </c>
    </row>
    <row r="54" spans="1:2" x14ac:dyDescent="0.2">
      <c r="A54" s="13">
        <v>439.5</v>
      </c>
      <c r="B54" s="13">
        <v>400</v>
      </c>
    </row>
    <row r="55" spans="1:2" x14ac:dyDescent="0.2">
      <c r="A55" s="13">
        <v>456</v>
      </c>
      <c r="B55" s="13">
        <v>424</v>
      </c>
    </row>
    <row r="56" spans="1:2" x14ac:dyDescent="0.2">
      <c r="A56" s="13">
        <v>432</v>
      </c>
      <c r="B56" s="13">
        <v>600</v>
      </c>
    </row>
    <row r="57" spans="1:2" x14ac:dyDescent="0.2">
      <c r="A57" s="13">
        <v>432</v>
      </c>
      <c r="B57" s="13">
        <v>522</v>
      </c>
    </row>
    <row r="58" spans="1:2" x14ac:dyDescent="0.2">
      <c r="A58" s="13">
        <v>432</v>
      </c>
      <c r="B58" s="13">
        <v>606</v>
      </c>
    </row>
    <row r="59" spans="1:2" x14ac:dyDescent="0.2">
      <c r="A59" s="13">
        <v>432</v>
      </c>
      <c r="B59" s="13">
        <v>502</v>
      </c>
    </row>
    <row r="60" spans="1:2" x14ac:dyDescent="0.2">
      <c r="A60" s="13">
        <v>432</v>
      </c>
      <c r="B60" s="13">
        <v>543.5</v>
      </c>
    </row>
    <row r="61" spans="1:2" x14ac:dyDescent="0.2">
      <c r="A61" s="13">
        <v>432</v>
      </c>
      <c r="B61" s="13">
        <v>560</v>
      </c>
    </row>
    <row r="62" spans="1:2" x14ac:dyDescent="0.2">
      <c r="A62" s="13">
        <v>432</v>
      </c>
      <c r="B62" s="13">
        <v>611</v>
      </c>
    </row>
    <row r="63" spans="1:2" x14ac:dyDescent="0.2">
      <c r="A63" s="13">
        <v>432</v>
      </c>
      <c r="B63" s="13">
        <v>475.5</v>
      </c>
    </row>
    <row r="64" spans="1:2" x14ac:dyDescent="0.2">
      <c r="A64" s="13">
        <v>437.5</v>
      </c>
      <c r="B64" s="13">
        <v>585.5</v>
      </c>
    </row>
    <row r="65" spans="1:2" x14ac:dyDescent="0.2">
      <c r="A65" s="13">
        <v>432</v>
      </c>
      <c r="B65" s="13">
        <v>162</v>
      </c>
    </row>
    <row r="66" spans="1:2" x14ac:dyDescent="0.2">
      <c r="A66" s="13">
        <v>432</v>
      </c>
      <c r="B66" s="13">
        <v>167.5</v>
      </c>
    </row>
    <row r="67" spans="1:2" x14ac:dyDescent="0.2">
      <c r="A67" s="13">
        <v>432</v>
      </c>
      <c r="B67" s="13">
        <v>162</v>
      </c>
    </row>
    <row r="68" spans="1:2" x14ac:dyDescent="0.2">
      <c r="A68" s="13">
        <v>432</v>
      </c>
      <c r="B68" s="13">
        <v>174</v>
      </c>
    </row>
    <row r="69" spans="1:2" x14ac:dyDescent="0.2">
      <c r="A69" s="13">
        <v>432</v>
      </c>
      <c r="B69" s="13">
        <v>167.5</v>
      </c>
    </row>
    <row r="70" spans="1:2" x14ac:dyDescent="0.2">
      <c r="A70" s="13">
        <v>432</v>
      </c>
      <c r="B70" s="13">
        <v>179.5</v>
      </c>
    </row>
    <row r="71" spans="1:2" x14ac:dyDescent="0.2">
      <c r="A71" s="13">
        <v>432</v>
      </c>
      <c r="B71" s="13">
        <v>196</v>
      </c>
    </row>
    <row r="72" spans="1:2" x14ac:dyDescent="0.2">
      <c r="A72" s="13">
        <v>432</v>
      </c>
      <c r="B72" s="13">
        <v>162</v>
      </c>
    </row>
    <row r="73" spans="1:2" x14ac:dyDescent="0.2">
      <c r="A73" s="13">
        <v>432</v>
      </c>
      <c r="B73" s="13">
        <v>167.5</v>
      </c>
    </row>
    <row r="74" spans="1:2" x14ac:dyDescent="0.2">
      <c r="A74" s="13">
        <v>432</v>
      </c>
      <c r="B74" s="13">
        <v>162</v>
      </c>
    </row>
    <row r="75" spans="1:2" x14ac:dyDescent="0.2">
      <c r="A75" s="13">
        <v>432</v>
      </c>
      <c r="B75" s="13">
        <v>162</v>
      </c>
    </row>
    <row r="76" spans="1:2" x14ac:dyDescent="0.2">
      <c r="A76" s="13">
        <v>432</v>
      </c>
      <c r="B76" s="13">
        <v>162</v>
      </c>
    </row>
    <row r="77" spans="1:2" x14ac:dyDescent="0.2">
      <c r="A77" s="13">
        <v>432</v>
      </c>
      <c r="B77" s="13">
        <v>162</v>
      </c>
    </row>
    <row r="78" spans="1:2" x14ac:dyDescent="0.2">
      <c r="A78" s="13">
        <v>432</v>
      </c>
      <c r="B78" s="13">
        <v>162</v>
      </c>
    </row>
    <row r="79" spans="1:2" x14ac:dyDescent="0.2">
      <c r="A79" s="13">
        <v>432</v>
      </c>
      <c r="B79" s="13">
        <v>162</v>
      </c>
    </row>
    <row r="80" spans="1:2" x14ac:dyDescent="0.2">
      <c r="A80" s="13">
        <v>432</v>
      </c>
      <c r="B80" s="13">
        <v>162</v>
      </c>
    </row>
    <row r="81" spans="1:2" x14ac:dyDescent="0.2">
      <c r="A81" s="13">
        <v>432</v>
      </c>
      <c r="B81" s="13">
        <v>162</v>
      </c>
    </row>
    <row r="82" spans="1:2" x14ac:dyDescent="0.2">
      <c r="A82" s="13">
        <v>717</v>
      </c>
      <c r="B82" s="13">
        <v>1861</v>
      </c>
    </row>
    <row r="83" spans="1:2" x14ac:dyDescent="0.2">
      <c r="A83" s="13">
        <v>573.5</v>
      </c>
      <c r="B83" s="13">
        <v>1904</v>
      </c>
    </row>
    <row r="84" spans="1:2" x14ac:dyDescent="0.2">
      <c r="A84" s="13">
        <v>628</v>
      </c>
      <c r="B84" s="13">
        <v>2034</v>
      </c>
    </row>
    <row r="85" spans="1:2" x14ac:dyDescent="0.2">
      <c r="A85" s="13">
        <v>584.5</v>
      </c>
      <c r="B85" s="13">
        <v>1985</v>
      </c>
    </row>
    <row r="86" spans="1:2" x14ac:dyDescent="0.2">
      <c r="A86" s="13">
        <v>743.5</v>
      </c>
      <c r="B86" s="13">
        <v>2136</v>
      </c>
    </row>
    <row r="87" spans="1:2" x14ac:dyDescent="0.2">
      <c r="A87" s="13">
        <v>784</v>
      </c>
      <c r="B87" s="13">
        <v>2143</v>
      </c>
    </row>
    <row r="88" spans="1:2" x14ac:dyDescent="0.2">
      <c r="A88" s="13">
        <v>635.5</v>
      </c>
      <c r="B88" s="13">
        <v>2271</v>
      </c>
    </row>
    <row r="89" spans="1:2" x14ac:dyDescent="0.2">
      <c r="A89" s="13">
        <v>749.5</v>
      </c>
      <c r="B89" s="13">
        <v>2260</v>
      </c>
    </row>
    <row r="90" spans="1:2" x14ac:dyDescent="0.2">
      <c r="A90" s="13">
        <v>711</v>
      </c>
      <c r="B90" s="13">
        <v>2554</v>
      </c>
    </row>
    <row r="91" spans="1:2" x14ac:dyDescent="0.2">
      <c r="A91" s="13">
        <v>530.5</v>
      </c>
      <c r="B91" s="13">
        <v>1165.5</v>
      </c>
    </row>
    <row r="92" spans="1:2" x14ac:dyDescent="0.2">
      <c r="A92" s="13">
        <v>504.5</v>
      </c>
      <c r="B92" s="13">
        <v>1172</v>
      </c>
    </row>
    <row r="93" spans="1:2" x14ac:dyDescent="0.2">
      <c r="A93" s="13">
        <v>529</v>
      </c>
      <c r="B93" s="13">
        <v>1173</v>
      </c>
    </row>
    <row r="94" spans="1:2" x14ac:dyDescent="0.2">
      <c r="A94" s="13">
        <v>518</v>
      </c>
      <c r="B94" s="13">
        <v>1117</v>
      </c>
    </row>
    <row r="95" spans="1:2" x14ac:dyDescent="0.2">
      <c r="A95" s="13">
        <v>559</v>
      </c>
      <c r="B95" s="13">
        <v>1155.5</v>
      </c>
    </row>
    <row r="96" spans="1:2" x14ac:dyDescent="0.2">
      <c r="A96" s="13">
        <v>617</v>
      </c>
      <c r="B96" s="13">
        <v>1133</v>
      </c>
    </row>
    <row r="97" spans="1:2" x14ac:dyDescent="0.2">
      <c r="A97" s="13">
        <v>551</v>
      </c>
      <c r="B97" s="13">
        <v>1159</v>
      </c>
    </row>
    <row r="98" spans="1:2" x14ac:dyDescent="0.2">
      <c r="A98" s="13">
        <v>584.5</v>
      </c>
      <c r="B98" s="13">
        <v>1068</v>
      </c>
    </row>
    <row r="99" spans="1:2" x14ac:dyDescent="0.2">
      <c r="A99" s="13">
        <v>547</v>
      </c>
      <c r="B99" s="13">
        <v>1117</v>
      </c>
    </row>
    <row r="100" spans="1:2" x14ac:dyDescent="0.2">
      <c r="A100" s="13">
        <v>432</v>
      </c>
      <c r="B100" s="13">
        <v>231</v>
      </c>
    </row>
    <row r="101" spans="1:2" x14ac:dyDescent="0.2">
      <c r="A101" s="13">
        <v>432</v>
      </c>
      <c r="B101" s="13">
        <v>258</v>
      </c>
    </row>
    <row r="102" spans="1:2" x14ac:dyDescent="0.2">
      <c r="A102" s="13">
        <v>864</v>
      </c>
      <c r="B102" s="13">
        <v>463</v>
      </c>
    </row>
    <row r="103" spans="1:2" x14ac:dyDescent="0.2">
      <c r="A103" s="13">
        <v>432</v>
      </c>
      <c r="B103" s="13">
        <v>364.5</v>
      </c>
    </row>
    <row r="104" spans="1:2" x14ac:dyDescent="0.2">
      <c r="A104" s="13">
        <v>432</v>
      </c>
      <c r="B104" s="13">
        <v>400</v>
      </c>
    </row>
    <row r="105" spans="1:2" x14ac:dyDescent="0.2">
      <c r="A105" s="13">
        <v>432</v>
      </c>
      <c r="B105" s="13">
        <v>371.5</v>
      </c>
    </row>
    <row r="106" spans="1:2" x14ac:dyDescent="0.2">
      <c r="A106" s="13">
        <v>432</v>
      </c>
      <c r="B106" s="13">
        <v>481.5</v>
      </c>
    </row>
    <row r="107" spans="1:2" x14ac:dyDescent="0.2">
      <c r="A107" s="13">
        <v>432</v>
      </c>
      <c r="B107" s="13">
        <v>438</v>
      </c>
    </row>
    <row r="108" spans="1:2" x14ac:dyDescent="0.2">
      <c r="A108" s="13">
        <v>432</v>
      </c>
      <c r="B108" s="13">
        <v>539</v>
      </c>
    </row>
    <row r="109" spans="1:2" x14ac:dyDescent="0.2">
      <c r="A109" s="13">
        <v>432</v>
      </c>
      <c r="B109" s="13">
        <v>167.5</v>
      </c>
    </row>
    <row r="110" spans="1:2" x14ac:dyDescent="0.2">
      <c r="A110" s="13">
        <v>432</v>
      </c>
      <c r="B110" s="13">
        <v>213</v>
      </c>
    </row>
    <row r="111" spans="1:2" x14ac:dyDescent="0.2">
      <c r="A111" s="13">
        <v>432</v>
      </c>
      <c r="B111" s="13">
        <v>205</v>
      </c>
    </row>
    <row r="112" spans="1:2" x14ac:dyDescent="0.2">
      <c r="A112" s="13">
        <v>432</v>
      </c>
      <c r="B112" s="13">
        <v>194.5</v>
      </c>
    </row>
    <row r="113" spans="1:2" x14ac:dyDescent="0.2">
      <c r="A113" s="13">
        <v>432</v>
      </c>
      <c r="B113" s="13">
        <v>232</v>
      </c>
    </row>
    <row r="114" spans="1:2" x14ac:dyDescent="0.2">
      <c r="A114" s="13">
        <v>432</v>
      </c>
      <c r="B114" s="13">
        <v>195.5</v>
      </c>
    </row>
    <row r="115" spans="1:2" x14ac:dyDescent="0.2">
      <c r="A115" s="13">
        <v>432</v>
      </c>
      <c r="B115" s="13">
        <v>217</v>
      </c>
    </row>
    <row r="116" spans="1:2" x14ac:dyDescent="0.2">
      <c r="A116" s="13">
        <v>432</v>
      </c>
      <c r="B116" s="13">
        <v>190.5</v>
      </c>
    </row>
    <row r="117" spans="1:2" x14ac:dyDescent="0.2">
      <c r="A117" s="13">
        <v>432</v>
      </c>
      <c r="B117" s="13">
        <v>235.5</v>
      </c>
    </row>
    <row r="118" spans="1:2" x14ac:dyDescent="0.2">
      <c r="A118" s="13">
        <v>608.5</v>
      </c>
      <c r="B118" s="13">
        <v>2006</v>
      </c>
    </row>
    <row r="119" spans="1:2" x14ac:dyDescent="0.2">
      <c r="A119" s="13">
        <v>541.5</v>
      </c>
      <c r="B119" s="13">
        <v>1912</v>
      </c>
    </row>
    <row r="120" spans="1:2" x14ac:dyDescent="0.2">
      <c r="A120" s="13">
        <v>602</v>
      </c>
      <c r="B120" s="13">
        <v>2049</v>
      </c>
    </row>
    <row r="121" spans="1:2" x14ac:dyDescent="0.2">
      <c r="A121" s="13">
        <v>582.5</v>
      </c>
      <c r="B121" s="13">
        <v>1983</v>
      </c>
    </row>
    <row r="122" spans="1:2" x14ac:dyDescent="0.2">
      <c r="A122" s="13">
        <v>563</v>
      </c>
      <c r="B122" s="13">
        <v>2122</v>
      </c>
    </row>
    <row r="123" spans="1:2" x14ac:dyDescent="0.2">
      <c r="A123" s="13">
        <v>602.5</v>
      </c>
      <c r="B123" s="13">
        <v>2125</v>
      </c>
    </row>
    <row r="124" spans="1:2" x14ac:dyDescent="0.2">
      <c r="A124" s="13">
        <v>587.5</v>
      </c>
      <c r="B124" s="13">
        <v>1997</v>
      </c>
    </row>
    <row r="125" spans="1:2" x14ac:dyDescent="0.2">
      <c r="A125" s="13">
        <v>615.5</v>
      </c>
      <c r="B125" s="13">
        <v>1799</v>
      </c>
    </row>
    <row r="126" spans="1:2" x14ac:dyDescent="0.2">
      <c r="A126" s="13">
        <v>598.5</v>
      </c>
      <c r="B126" s="13">
        <v>2026</v>
      </c>
    </row>
    <row r="127" spans="1:2" x14ac:dyDescent="0.2">
      <c r="A127" s="13">
        <v>459</v>
      </c>
      <c r="B127" s="13">
        <v>949</v>
      </c>
    </row>
    <row r="128" spans="1:2" x14ac:dyDescent="0.2">
      <c r="A128" s="13">
        <v>462.5</v>
      </c>
      <c r="B128" s="13">
        <v>973.5</v>
      </c>
    </row>
    <row r="129" spans="1:2" x14ac:dyDescent="0.2">
      <c r="A129" s="13">
        <v>439.5</v>
      </c>
      <c r="B129" s="13">
        <v>812</v>
      </c>
    </row>
    <row r="130" spans="1:2" x14ac:dyDescent="0.2">
      <c r="A130" s="13">
        <v>432</v>
      </c>
      <c r="B130" s="13">
        <v>791.5</v>
      </c>
    </row>
    <row r="131" spans="1:2" x14ac:dyDescent="0.2">
      <c r="A131" s="13">
        <v>469</v>
      </c>
      <c r="B131" s="13">
        <v>914.5</v>
      </c>
    </row>
    <row r="132" spans="1:2" x14ac:dyDescent="0.2">
      <c r="A132" s="13">
        <v>486.5</v>
      </c>
      <c r="B132" s="13">
        <v>832</v>
      </c>
    </row>
    <row r="133" spans="1:2" x14ac:dyDescent="0.2">
      <c r="A133" s="13">
        <v>440.5</v>
      </c>
      <c r="B133" s="13">
        <v>881.5</v>
      </c>
    </row>
    <row r="134" spans="1:2" x14ac:dyDescent="0.2">
      <c r="A134" s="13">
        <v>472.5</v>
      </c>
      <c r="B134" s="13">
        <v>762.5</v>
      </c>
    </row>
    <row r="135" spans="1:2" x14ac:dyDescent="0.2">
      <c r="A135" s="13">
        <v>466.5</v>
      </c>
      <c r="B135" s="13">
        <v>895.5</v>
      </c>
    </row>
    <row r="136" spans="1:2" x14ac:dyDescent="0.2">
      <c r="A136" s="13">
        <v>445</v>
      </c>
      <c r="B136" s="13">
        <v>564.5</v>
      </c>
    </row>
    <row r="137" spans="1:2" x14ac:dyDescent="0.2">
      <c r="A137" s="13">
        <v>432</v>
      </c>
      <c r="B137" s="13">
        <v>506</v>
      </c>
    </row>
    <row r="138" spans="1:2" x14ac:dyDescent="0.2">
      <c r="A138" s="13">
        <v>432</v>
      </c>
      <c r="B138" s="13">
        <v>569</v>
      </c>
    </row>
    <row r="139" spans="1:2" x14ac:dyDescent="0.2">
      <c r="A139" s="13">
        <v>432</v>
      </c>
      <c r="B139" s="13">
        <v>589.5</v>
      </c>
    </row>
    <row r="140" spans="1:2" x14ac:dyDescent="0.2">
      <c r="A140" s="13">
        <v>432</v>
      </c>
      <c r="B140" s="13">
        <v>679.5</v>
      </c>
    </row>
    <row r="141" spans="1:2" x14ac:dyDescent="0.2">
      <c r="A141" s="13">
        <v>432</v>
      </c>
      <c r="B141" s="13">
        <v>501</v>
      </c>
    </row>
    <row r="142" spans="1:2" x14ac:dyDescent="0.2">
      <c r="A142" s="13">
        <v>438.5</v>
      </c>
      <c r="B142" s="13">
        <v>532</v>
      </c>
    </row>
    <row r="143" spans="1:2" x14ac:dyDescent="0.2">
      <c r="A143" s="13">
        <v>432</v>
      </c>
      <c r="B143" s="13">
        <v>443</v>
      </c>
    </row>
    <row r="144" spans="1:2" x14ac:dyDescent="0.2">
      <c r="A144" s="13">
        <v>432</v>
      </c>
      <c r="B144" s="13">
        <v>489.5</v>
      </c>
    </row>
    <row r="145" spans="1:2" x14ac:dyDescent="0.2">
      <c r="A145" s="13">
        <v>432</v>
      </c>
      <c r="B145" s="13">
        <v>512</v>
      </c>
    </row>
    <row r="146" spans="1:2" x14ac:dyDescent="0.2">
      <c r="A146" s="13">
        <v>432</v>
      </c>
      <c r="B146" s="13">
        <v>478.5</v>
      </c>
    </row>
    <row r="147" spans="1:2" x14ac:dyDescent="0.2">
      <c r="A147" s="13">
        <v>432</v>
      </c>
      <c r="B147" s="13">
        <v>553</v>
      </c>
    </row>
    <row r="148" spans="1:2" x14ac:dyDescent="0.2">
      <c r="A148" s="13">
        <v>432</v>
      </c>
      <c r="B148" s="13">
        <v>555</v>
      </c>
    </row>
    <row r="149" spans="1:2" x14ac:dyDescent="0.2">
      <c r="A149" s="13">
        <v>438.5</v>
      </c>
      <c r="B149" s="13">
        <v>600</v>
      </c>
    </row>
    <row r="150" spans="1:2" x14ac:dyDescent="0.2">
      <c r="A150" s="13">
        <v>439.5</v>
      </c>
      <c r="B150" s="13">
        <v>511.5</v>
      </c>
    </row>
    <row r="151" spans="1:2" x14ac:dyDescent="0.2">
      <c r="A151" s="13">
        <v>432</v>
      </c>
      <c r="B151" s="13">
        <v>569</v>
      </c>
    </row>
    <row r="152" spans="1:2" x14ac:dyDescent="0.2">
      <c r="A152" s="13">
        <v>432</v>
      </c>
      <c r="B152" s="13">
        <v>451.5</v>
      </c>
    </row>
    <row r="153" spans="1:2" x14ac:dyDescent="0.2">
      <c r="A153" s="13">
        <v>432</v>
      </c>
      <c r="B153" s="13">
        <v>476</v>
      </c>
    </row>
    <row r="154" spans="1:2" x14ac:dyDescent="0.2">
      <c r="A154" s="13">
        <v>452.5</v>
      </c>
      <c r="B154" s="13">
        <v>803</v>
      </c>
    </row>
    <row r="155" spans="1:2" x14ac:dyDescent="0.2">
      <c r="A155" s="13">
        <v>438.5</v>
      </c>
      <c r="B155" s="13">
        <v>770</v>
      </c>
    </row>
    <row r="156" spans="1:2" x14ac:dyDescent="0.2">
      <c r="A156" s="13">
        <v>466.5</v>
      </c>
      <c r="B156" s="13">
        <v>761</v>
      </c>
    </row>
    <row r="157" spans="1:2" x14ac:dyDescent="0.2">
      <c r="A157" s="13">
        <v>446</v>
      </c>
      <c r="B157" s="13">
        <v>713.5</v>
      </c>
    </row>
    <row r="158" spans="1:2" x14ac:dyDescent="0.2">
      <c r="A158" s="13">
        <v>444</v>
      </c>
      <c r="B158" s="13">
        <v>749.5</v>
      </c>
    </row>
    <row r="159" spans="1:2" x14ac:dyDescent="0.2">
      <c r="A159" s="13">
        <v>484.5</v>
      </c>
      <c r="B159" s="13">
        <v>794</v>
      </c>
    </row>
    <row r="160" spans="1:2" x14ac:dyDescent="0.2">
      <c r="A160" s="13">
        <v>465.5</v>
      </c>
      <c r="B160" s="13">
        <v>792.5</v>
      </c>
    </row>
    <row r="161" spans="1:2" x14ac:dyDescent="0.2">
      <c r="A161" s="13">
        <v>467</v>
      </c>
      <c r="B161" s="13">
        <v>700</v>
      </c>
    </row>
    <row r="162" spans="1:2" x14ac:dyDescent="0.2">
      <c r="A162" s="13">
        <v>457.5</v>
      </c>
      <c r="B162" s="13">
        <v>742</v>
      </c>
    </row>
    <row r="163" spans="1:2" x14ac:dyDescent="0.2">
      <c r="A163" s="13">
        <v>432</v>
      </c>
      <c r="B163" s="13">
        <v>688</v>
      </c>
    </row>
    <row r="164" spans="1:2" x14ac:dyDescent="0.2">
      <c r="A164" s="13">
        <v>438.5</v>
      </c>
      <c r="B164" s="13">
        <v>720.5</v>
      </c>
    </row>
    <row r="165" spans="1:2" x14ac:dyDescent="0.2">
      <c r="A165" s="13">
        <v>456.5</v>
      </c>
      <c r="B165" s="13">
        <v>658.5</v>
      </c>
    </row>
    <row r="166" spans="1:2" x14ac:dyDescent="0.2">
      <c r="A166" s="13">
        <v>439.5</v>
      </c>
      <c r="B166" s="13">
        <v>631.5</v>
      </c>
    </row>
    <row r="167" spans="1:2" x14ac:dyDescent="0.2">
      <c r="A167" s="13">
        <v>494.5</v>
      </c>
      <c r="B167" s="13">
        <v>658.5</v>
      </c>
    </row>
    <row r="168" spans="1:2" x14ac:dyDescent="0.2">
      <c r="A168" s="13">
        <v>511</v>
      </c>
      <c r="B168" s="13">
        <v>599.5</v>
      </c>
    </row>
    <row r="169" spans="1:2" x14ac:dyDescent="0.2">
      <c r="A169" s="13">
        <v>449</v>
      </c>
      <c r="B169" s="13">
        <v>583.5</v>
      </c>
    </row>
    <row r="170" spans="1:2" x14ac:dyDescent="0.2">
      <c r="A170" s="13">
        <v>449.5</v>
      </c>
      <c r="B170" s="13">
        <v>536</v>
      </c>
    </row>
    <row r="171" spans="1:2" x14ac:dyDescent="0.2">
      <c r="A171" s="13">
        <v>467.5</v>
      </c>
      <c r="B171" s="13">
        <v>597</v>
      </c>
    </row>
    <row r="172" spans="1:2" x14ac:dyDescent="0.2">
      <c r="A172" s="13">
        <v>432</v>
      </c>
      <c r="B172" s="13">
        <v>216</v>
      </c>
    </row>
    <row r="173" spans="1:2" x14ac:dyDescent="0.2">
      <c r="A173" s="13">
        <v>432</v>
      </c>
      <c r="B173" s="13">
        <v>230.5</v>
      </c>
    </row>
    <row r="174" spans="1:2" x14ac:dyDescent="0.2">
      <c r="A174" s="13">
        <v>432</v>
      </c>
      <c r="B174" s="13">
        <v>265</v>
      </c>
    </row>
    <row r="175" spans="1:2" x14ac:dyDescent="0.2">
      <c r="A175" s="13">
        <v>432</v>
      </c>
      <c r="B175" s="13">
        <v>195</v>
      </c>
    </row>
    <row r="176" spans="1:2" x14ac:dyDescent="0.2">
      <c r="A176" s="13">
        <v>432</v>
      </c>
      <c r="B176" s="13">
        <v>244.5</v>
      </c>
    </row>
    <row r="177" spans="1:2" x14ac:dyDescent="0.2">
      <c r="A177" s="13">
        <v>432</v>
      </c>
      <c r="B177" s="13">
        <v>200.5</v>
      </c>
    </row>
    <row r="178" spans="1:2" x14ac:dyDescent="0.2">
      <c r="A178" s="13">
        <v>432</v>
      </c>
      <c r="B178" s="13">
        <v>296</v>
      </c>
    </row>
    <row r="179" spans="1:2" x14ac:dyDescent="0.2">
      <c r="A179" s="13">
        <v>432</v>
      </c>
      <c r="B179" s="13">
        <v>215</v>
      </c>
    </row>
    <row r="180" spans="1:2" x14ac:dyDescent="0.2">
      <c r="A180" s="13">
        <v>432</v>
      </c>
      <c r="B180" s="13">
        <v>256</v>
      </c>
    </row>
    <row r="181" spans="1:2" x14ac:dyDescent="0.2">
      <c r="A181" s="13">
        <v>450.5</v>
      </c>
      <c r="B181" s="13">
        <v>741.5</v>
      </c>
    </row>
    <row r="182" spans="1:2" x14ac:dyDescent="0.2">
      <c r="A182" s="13">
        <v>440.5</v>
      </c>
      <c r="B182" s="13">
        <v>762</v>
      </c>
    </row>
    <row r="183" spans="1:2" x14ac:dyDescent="0.2">
      <c r="A183" s="13">
        <v>448.5</v>
      </c>
      <c r="B183" s="13">
        <v>865</v>
      </c>
    </row>
    <row r="184" spans="1:2" x14ac:dyDescent="0.2">
      <c r="A184" s="13">
        <v>438.5</v>
      </c>
      <c r="B184" s="13">
        <v>788</v>
      </c>
    </row>
    <row r="185" spans="1:2" x14ac:dyDescent="0.2">
      <c r="A185" s="13">
        <v>457</v>
      </c>
      <c r="B185" s="13">
        <v>918</v>
      </c>
    </row>
    <row r="186" spans="1:2" x14ac:dyDescent="0.2">
      <c r="A186" s="13">
        <v>467.5</v>
      </c>
      <c r="B186" s="13">
        <v>810.5</v>
      </c>
    </row>
    <row r="187" spans="1:2" x14ac:dyDescent="0.2">
      <c r="A187" s="13">
        <v>448</v>
      </c>
      <c r="B187" s="13">
        <v>997.5</v>
      </c>
    </row>
    <row r="188" spans="1:2" x14ac:dyDescent="0.2">
      <c r="A188" s="13">
        <v>456.5</v>
      </c>
      <c r="B188" s="13">
        <v>846.5</v>
      </c>
    </row>
    <row r="189" spans="1:2" x14ac:dyDescent="0.2">
      <c r="A189" s="13">
        <v>442.5</v>
      </c>
      <c r="B189" s="13">
        <v>835.5</v>
      </c>
    </row>
    <row r="190" spans="1:2" x14ac:dyDescent="0.2">
      <c r="A190" s="13">
        <v>440.5</v>
      </c>
      <c r="B190" s="13">
        <v>1178</v>
      </c>
    </row>
    <row r="191" spans="1:2" x14ac:dyDescent="0.2">
      <c r="A191" s="13">
        <v>439.5</v>
      </c>
      <c r="B191" s="13">
        <v>1148</v>
      </c>
    </row>
    <row r="192" spans="1:2" x14ac:dyDescent="0.2">
      <c r="A192" s="13">
        <v>440.5</v>
      </c>
      <c r="B192" s="13">
        <v>1262</v>
      </c>
    </row>
    <row r="193" spans="1:2" x14ac:dyDescent="0.2">
      <c r="A193" s="13">
        <v>432</v>
      </c>
      <c r="B193" s="13">
        <v>1215</v>
      </c>
    </row>
    <row r="194" spans="1:2" x14ac:dyDescent="0.2">
      <c r="A194" s="13">
        <v>457.5</v>
      </c>
      <c r="B194" s="13">
        <v>1396.5</v>
      </c>
    </row>
    <row r="195" spans="1:2" x14ac:dyDescent="0.2">
      <c r="A195" s="13">
        <v>479</v>
      </c>
      <c r="B195" s="13">
        <v>1187</v>
      </c>
    </row>
    <row r="196" spans="1:2" x14ac:dyDescent="0.2">
      <c r="A196" s="13">
        <v>458.5</v>
      </c>
      <c r="B196" s="13">
        <v>1375</v>
      </c>
    </row>
    <row r="197" spans="1:2" x14ac:dyDescent="0.2">
      <c r="A197" s="13">
        <v>445</v>
      </c>
      <c r="B197" s="13">
        <v>1109.5</v>
      </c>
    </row>
    <row r="198" spans="1:2" x14ac:dyDescent="0.2">
      <c r="A198" s="13">
        <v>456.5</v>
      </c>
      <c r="B198" s="13">
        <v>1301.5</v>
      </c>
    </row>
    <row r="199" spans="1:2" x14ac:dyDescent="0.2">
      <c r="A199" s="13">
        <v>545</v>
      </c>
      <c r="B199" s="13">
        <v>1293</v>
      </c>
    </row>
    <row r="200" spans="1:2" x14ac:dyDescent="0.2">
      <c r="A200" s="13">
        <v>471.5</v>
      </c>
      <c r="B200" s="13">
        <v>1273.5</v>
      </c>
    </row>
    <row r="201" spans="1:2" x14ac:dyDescent="0.2">
      <c r="A201" s="13">
        <v>524.5</v>
      </c>
      <c r="B201" s="13">
        <v>1464.5</v>
      </c>
    </row>
    <row r="202" spans="1:2" x14ac:dyDescent="0.2">
      <c r="A202" s="13">
        <v>493</v>
      </c>
      <c r="B202" s="13">
        <v>1334.5</v>
      </c>
    </row>
    <row r="203" spans="1:2" x14ac:dyDescent="0.2">
      <c r="A203" s="13">
        <v>559</v>
      </c>
      <c r="B203" s="13">
        <v>1586</v>
      </c>
    </row>
    <row r="204" spans="1:2" x14ac:dyDescent="0.2">
      <c r="A204" s="13">
        <v>555.5</v>
      </c>
      <c r="B204" s="13">
        <v>1553</v>
      </c>
    </row>
    <row r="205" spans="1:2" x14ac:dyDescent="0.2">
      <c r="A205" s="13">
        <v>547</v>
      </c>
      <c r="B205" s="13">
        <v>1607</v>
      </c>
    </row>
    <row r="206" spans="1:2" x14ac:dyDescent="0.2">
      <c r="A206" s="13">
        <v>542.5</v>
      </c>
      <c r="B206" s="13">
        <v>1354</v>
      </c>
    </row>
    <row r="207" spans="1:2" x14ac:dyDescent="0.2">
      <c r="A207" s="13">
        <v>559</v>
      </c>
      <c r="B207" s="13">
        <v>1495</v>
      </c>
    </row>
    <row r="208" spans="1:2" x14ac:dyDescent="0.2">
      <c r="A208" s="13">
        <v>438.5</v>
      </c>
      <c r="B208" s="13">
        <v>515.5</v>
      </c>
    </row>
    <row r="209" spans="1:2" x14ac:dyDescent="0.2">
      <c r="A209" s="13">
        <v>432</v>
      </c>
      <c r="B209" s="13">
        <v>520</v>
      </c>
    </row>
    <row r="210" spans="1:2" x14ac:dyDescent="0.2">
      <c r="A210" s="13">
        <v>432</v>
      </c>
      <c r="B210" s="13">
        <v>573</v>
      </c>
    </row>
    <row r="211" spans="1:2" x14ac:dyDescent="0.2">
      <c r="A211" s="13">
        <v>432</v>
      </c>
      <c r="B211" s="13">
        <v>571</v>
      </c>
    </row>
    <row r="212" spans="1:2" x14ac:dyDescent="0.2">
      <c r="A212" s="13">
        <v>432</v>
      </c>
      <c r="B212" s="13">
        <v>639</v>
      </c>
    </row>
    <row r="213" spans="1:2" x14ac:dyDescent="0.2">
      <c r="A213" s="13">
        <v>443</v>
      </c>
      <c r="B213" s="13">
        <v>506</v>
      </c>
    </row>
    <row r="214" spans="1:2" x14ac:dyDescent="0.2">
      <c r="A214" s="13">
        <v>432</v>
      </c>
      <c r="B214" s="13">
        <v>629.5</v>
      </c>
    </row>
    <row r="215" spans="1:2" x14ac:dyDescent="0.2">
      <c r="A215" s="13">
        <v>432</v>
      </c>
      <c r="B215" s="13">
        <v>429.5</v>
      </c>
    </row>
    <row r="216" spans="1:2" x14ac:dyDescent="0.2">
      <c r="A216" s="13">
        <v>432</v>
      </c>
      <c r="B216" s="13">
        <v>568.5</v>
      </c>
    </row>
    <row r="217" spans="1:2" x14ac:dyDescent="0.2">
      <c r="A217" s="13">
        <v>432</v>
      </c>
      <c r="B217" s="13">
        <v>453.5</v>
      </c>
    </row>
    <row r="218" spans="1:2" x14ac:dyDescent="0.2">
      <c r="A218" s="13">
        <v>437.5</v>
      </c>
      <c r="B218" s="13">
        <v>429.5</v>
      </c>
    </row>
    <row r="219" spans="1:2" x14ac:dyDescent="0.2">
      <c r="A219" s="13">
        <v>432</v>
      </c>
      <c r="B219" s="13">
        <v>484</v>
      </c>
    </row>
    <row r="220" spans="1:2" x14ac:dyDescent="0.2">
      <c r="A220" s="13">
        <v>432</v>
      </c>
      <c r="B220" s="13">
        <v>443.5</v>
      </c>
    </row>
    <row r="221" spans="1:2" x14ac:dyDescent="0.2">
      <c r="A221" s="13">
        <v>456.5</v>
      </c>
      <c r="B221" s="13">
        <v>591.5</v>
      </c>
    </row>
    <row r="222" spans="1:2" x14ac:dyDescent="0.2">
      <c r="A222" s="13">
        <v>492</v>
      </c>
      <c r="B222" s="13">
        <v>552</v>
      </c>
    </row>
    <row r="223" spans="1:2" x14ac:dyDescent="0.2">
      <c r="A223" s="13">
        <v>451.5</v>
      </c>
      <c r="B223" s="13">
        <v>641.5</v>
      </c>
    </row>
    <row r="224" spans="1:2" x14ac:dyDescent="0.2">
      <c r="A224" s="13">
        <v>463.5</v>
      </c>
      <c r="B224" s="13">
        <v>615.5</v>
      </c>
    </row>
    <row r="225" spans="1:2" x14ac:dyDescent="0.2">
      <c r="A225" s="13">
        <v>468</v>
      </c>
      <c r="B225" s="13">
        <v>585</v>
      </c>
    </row>
    <row r="226" spans="1:2" x14ac:dyDescent="0.2">
      <c r="A226" s="13">
        <v>475</v>
      </c>
      <c r="B226" s="13">
        <v>1117</v>
      </c>
    </row>
    <row r="227" spans="1:2" x14ac:dyDescent="0.2">
      <c r="A227" s="13">
        <v>445</v>
      </c>
      <c r="B227" s="13">
        <v>1004</v>
      </c>
    </row>
    <row r="228" spans="1:2" x14ac:dyDescent="0.2">
      <c r="A228" s="13">
        <v>457.5</v>
      </c>
      <c r="B228" s="13">
        <v>1014.5</v>
      </c>
    </row>
    <row r="229" spans="1:2" x14ac:dyDescent="0.2">
      <c r="A229" s="13">
        <v>474</v>
      </c>
      <c r="B229" s="13">
        <v>1028</v>
      </c>
    </row>
    <row r="230" spans="1:2" x14ac:dyDescent="0.2">
      <c r="A230" s="13">
        <v>464.5</v>
      </c>
      <c r="B230" s="13">
        <v>1134.5</v>
      </c>
    </row>
    <row r="231" spans="1:2" x14ac:dyDescent="0.2">
      <c r="A231" s="13">
        <v>492</v>
      </c>
      <c r="B231" s="13">
        <v>1099</v>
      </c>
    </row>
    <row r="232" spans="1:2" x14ac:dyDescent="0.2">
      <c r="A232" s="13">
        <v>454.5</v>
      </c>
      <c r="B232" s="13">
        <v>1153.5</v>
      </c>
    </row>
    <row r="233" spans="1:2" x14ac:dyDescent="0.2">
      <c r="A233" s="13">
        <v>480.5</v>
      </c>
      <c r="B233" s="13">
        <v>956</v>
      </c>
    </row>
    <row r="234" spans="1:2" x14ac:dyDescent="0.2">
      <c r="A234" s="13">
        <v>443</v>
      </c>
      <c r="B234" s="13">
        <v>1110.5</v>
      </c>
    </row>
    <row r="235" spans="1:2" x14ac:dyDescent="0.2">
      <c r="A235" s="13">
        <v>432</v>
      </c>
      <c r="B235" s="13">
        <v>180</v>
      </c>
    </row>
    <row r="236" spans="1:2" x14ac:dyDescent="0.2">
      <c r="A236" s="13">
        <v>432</v>
      </c>
      <c r="B236" s="13">
        <v>192.5</v>
      </c>
    </row>
    <row r="237" spans="1:2" x14ac:dyDescent="0.2">
      <c r="A237" s="13">
        <v>432</v>
      </c>
      <c r="B237" s="13">
        <v>180</v>
      </c>
    </row>
    <row r="238" spans="1:2" x14ac:dyDescent="0.2">
      <c r="A238" s="13">
        <v>432</v>
      </c>
      <c r="B238" s="13">
        <v>187.5</v>
      </c>
    </row>
    <row r="239" spans="1:2" x14ac:dyDescent="0.2">
      <c r="A239" s="13">
        <v>432</v>
      </c>
      <c r="B239" s="13">
        <v>215</v>
      </c>
    </row>
    <row r="240" spans="1:2" x14ac:dyDescent="0.2">
      <c r="A240" s="13">
        <v>432</v>
      </c>
      <c r="B240" s="13">
        <v>190</v>
      </c>
    </row>
    <row r="241" spans="1:2" x14ac:dyDescent="0.2">
      <c r="A241" s="13">
        <v>432</v>
      </c>
      <c r="B241" s="13">
        <v>202</v>
      </c>
    </row>
    <row r="242" spans="1:2" x14ac:dyDescent="0.2">
      <c r="A242" s="13">
        <v>432</v>
      </c>
      <c r="B242" s="13">
        <v>168.5</v>
      </c>
    </row>
    <row r="243" spans="1:2" x14ac:dyDescent="0.2">
      <c r="A243" s="13">
        <v>432</v>
      </c>
      <c r="B243" s="13">
        <v>198</v>
      </c>
    </row>
    <row r="244" spans="1:2" x14ac:dyDescent="0.2">
      <c r="A244" s="13">
        <v>432</v>
      </c>
      <c r="B244" s="13">
        <v>247</v>
      </c>
    </row>
    <row r="245" spans="1:2" x14ac:dyDescent="0.2">
      <c r="A245" s="13">
        <v>432</v>
      </c>
      <c r="B245" s="13">
        <v>256</v>
      </c>
    </row>
    <row r="246" spans="1:2" x14ac:dyDescent="0.2">
      <c r="A246" s="13">
        <v>432</v>
      </c>
      <c r="B246" s="13">
        <v>301.5</v>
      </c>
    </row>
    <row r="247" spans="1:2" x14ac:dyDescent="0.2">
      <c r="A247" s="13">
        <v>432</v>
      </c>
      <c r="B247" s="13">
        <v>276</v>
      </c>
    </row>
    <row r="248" spans="1:2" x14ac:dyDescent="0.2">
      <c r="A248" s="13">
        <v>432</v>
      </c>
      <c r="B248" s="13">
        <v>320.5</v>
      </c>
    </row>
    <row r="249" spans="1:2" x14ac:dyDescent="0.2">
      <c r="A249" s="13">
        <v>432</v>
      </c>
      <c r="B249" s="13">
        <v>295</v>
      </c>
    </row>
    <row r="250" spans="1:2" x14ac:dyDescent="0.2">
      <c r="A250" s="13">
        <v>432</v>
      </c>
      <c r="B250" s="13">
        <v>320.5</v>
      </c>
    </row>
    <row r="251" spans="1:2" x14ac:dyDescent="0.2">
      <c r="A251" s="13">
        <v>432</v>
      </c>
      <c r="B251" s="13">
        <v>295</v>
      </c>
    </row>
    <row r="252" spans="1:2" x14ac:dyDescent="0.2">
      <c r="A252" s="13">
        <v>432</v>
      </c>
      <c r="B252" s="13">
        <v>342</v>
      </c>
    </row>
    <row r="253" spans="1:2" x14ac:dyDescent="0.2">
      <c r="A253" s="13">
        <v>437.5</v>
      </c>
      <c r="B253" s="13">
        <v>347.5</v>
      </c>
    </row>
    <row r="254" spans="1:2" x14ac:dyDescent="0.2">
      <c r="A254" s="13">
        <v>432</v>
      </c>
      <c r="B254" s="13">
        <v>318.5</v>
      </c>
    </row>
    <row r="255" spans="1:2" x14ac:dyDescent="0.2">
      <c r="A255" s="13">
        <v>432</v>
      </c>
      <c r="B255" s="13">
        <v>321</v>
      </c>
    </row>
    <row r="256" spans="1:2" x14ac:dyDescent="0.2">
      <c r="A256" s="13">
        <v>432</v>
      </c>
      <c r="B256" s="13">
        <v>368</v>
      </c>
    </row>
    <row r="257" spans="1:2" x14ac:dyDescent="0.2">
      <c r="A257" s="13">
        <v>446</v>
      </c>
      <c r="B257" s="13">
        <v>329.5</v>
      </c>
    </row>
    <row r="258" spans="1:2" x14ac:dyDescent="0.2">
      <c r="A258" s="13">
        <v>450.5</v>
      </c>
      <c r="B258" s="13">
        <v>501.5</v>
      </c>
    </row>
    <row r="259" spans="1:2" x14ac:dyDescent="0.2">
      <c r="A259" s="13">
        <v>450.5</v>
      </c>
      <c r="B259" s="13">
        <v>462.5</v>
      </c>
    </row>
    <row r="260" spans="1:2" x14ac:dyDescent="0.2">
      <c r="A260" s="13">
        <v>461</v>
      </c>
      <c r="B260" s="13">
        <v>381</v>
      </c>
    </row>
    <row r="261" spans="1:2" x14ac:dyDescent="0.2">
      <c r="A261" s="13">
        <v>463</v>
      </c>
      <c r="B261" s="13">
        <v>444</v>
      </c>
    </row>
    <row r="262" spans="1:2" x14ac:dyDescent="0.2">
      <c r="A262" s="13">
        <v>432</v>
      </c>
      <c r="B262" s="13">
        <v>193</v>
      </c>
    </row>
    <row r="263" spans="1:2" x14ac:dyDescent="0.2">
      <c r="A263" s="13">
        <v>432</v>
      </c>
      <c r="B263" s="13">
        <v>202.5</v>
      </c>
    </row>
    <row r="264" spans="1:2" x14ac:dyDescent="0.2">
      <c r="A264" s="13">
        <v>432</v>
      </c>
      <c r="B264" s="13">
        <v>234.5</v>
      </c>
    </row>
    <row r="265" spans="1:2" x14ac:dyDescent="0.2">
      <c r="A265" s="13">
        <v>432</v>
      </c>
      <c r="B265" s="13">
        <v>228.5</v>
      </c>
    </row>
    <row r="266" spans="1:2" x14ac:dyDescent="0.2">
      <c r="A266" s="13">
        <v>432</v>
      </c>
      <c r="B266" s="13">
        <v>224</v>
      </c>
    </row>
    <row r="267" spans="1:2" x14ac:dyDescent="0.2">
      <c r="A267" s="13">
        <v>432</v>
      </c>
      <c r="B267" s="13">
        <v>198.5</v>
      </c>
    </row>
    <row r="268" spans="1:2" x14ac:dyDescent="0.2">
      <c r="A268" s="13">
        <v>432</v>
      </c>
      <c r="B268" s="13">
        <v>261.5</v>
      </c>
    </row>
    <row r="269" spans="1:2" x14ac:dyDescent="0.2">
      <c r="A269" s="13">
        <v>432</v>
      </c>
      <c r="B269" s="13">
        <v>189</v>
      </c>
    </row>
    <row r="270" spans="1:2" x14ac:dyDescent="0.2">
      <c r="A270" s="13">
        <v>432</v>
      </c>
      <c r="B270" s="13">
        <v>228.5</v>
      </c>
    </row>
    <row r="271" spans="1:2" x14ac:dyDescent="0.2">
      <c r="A271" s="13">
        <v>474</v>
      </c>
      <c r="B271" s="13">
        <v>1092</v>
      </c>
    </row>
    <row r="272" spans="1:2" x14ac:dyDescent="0.2">
      <c r="A272" s="13">
        <v>449.5</v>
      </c>
      <c r="B272" s="13">
        <v>946.5</v>
      </c>
    </row>
    <row r="273" spans="1:2" x14ac:dyDescent="0.2">
      <c r="A273" s="13">
        <v>467.5</v>
      </c>
      <c r="B273" s="13">
        <v>1016</v>
      </c>
    </row>
    <row r="274" spans="1:2" x14ac:dyDescent="0.2">
      <c r="A274" s="13">
        <v>446</v>
      </c>
      <c r="B274" s="13">
        <v>970</v>
      </c>
    </row>
    <row r="275" spans="1:2" x14ac:dyDescent="0.2">
      <c r="A275" s="13">
        <v>472.5</v>
      </c>
      <c r="B275" s="13">
        <v>1164</v>
      </c>
    </row>
    <row r="276" spans="1:2" x14ac:dyDescent="0.2">
      <c r="A276" s="13">
        <v>457</v>
      </c>
      <c r="B276" s="13">
        <v>1039.5</v>
      </c>
    </row>
    <row r="277" spans="1:2" x14ac:dyDescent="0.2">
      <c r="A277" s="13">
        <v>467</v>
      </c>
      <c r="B277" s="13">
        <v>1234</v>
      </c>
    </row>
    <row r="278" spans="1:2" x14ac:dyDescent="0.2">
      <c r="A278" s="13">
        <v>472.5</v>
      </c>
      <c r="B278" s="13">
        <v>1030</v>
      </c>
    </row>
    <row r="279" spans="1:2" x14ac:dyDescent="0.2">
      <c r="A279" s="13">
        <v>474</v>
      </c>
      <c r="B279" s="13">
        <v>1137.5</v>
      </c>
    </row>
    <row r="280" spans="1:2" x14ac:dyDescent="0.2">
      <c r="A280" s="13">
        <v>432</v>
      </c>
      <c r="B280" s="13">
        <v>238</v>
      </c>
    </row>
    <row r="281" spans="1:2" x14ac:dyDescent="0.2">
      <c r="A281" s="13">
        <v>432</v>
      </c>
      <c r="B281" s="13">
        <v>249</v>
      </c>
    </row>
    <row r="282" spans="1:2" x14ac:dyDescent="0.2">
      <c r="A282" s="13">
        <v>432</v>
      </c>
      <c r="B282" s="13">
        <v>274.5</v>
      </c>
    </row>
    <row r="283" spans="1:2" x14ac:dyDescent="0.2">
      <c r="A283" s="13">
        <v>432</v>
      </c>
      <c r="B283" s="13">
        <v>229</v>
      </c>
    </row>
    <row r="284" spans="1:2" x14ac:dyDescent="0.2">
      <c r="A284" s="13">
        <v>432</v>
      </c>
      <c r="B284" s="13">
        <v>274</v>
      </c>
    </row>
    <row r="285" spans="1:2" x14ac:dyDescent="0.2">
      <c r="A285" s="13">
        <v>432</v>
      </c>
      <c r="B285" s="13">
        <v>246</v>
      </c>
    </row>
    <row r="286" spans="1:2" x14ac:dyDescent="0.2">
      <c r="A286" s="13">
        <v>432</v>
      </c>
      <c r="B286" s="13">
        <v>241</v>
      </c>
    </row>
    <row r="287" spans="1:2" x14ac:dyDescent="0.2">
      <c r="A287" s="13">
        <v>432</v>
      </c>
      <c r="B287" s="13">
        <v>240.5</v>
      </c>
    </row>
    <row r="288" spans="1:2" x14ac:dyDescent="0.2">
      <c r="A288" s="13">
        <v>432</v>
      </c>
      <c r="B288" s="13">
        <v>246</v>
      </c>
    </row>
    <row r="289" spans="1:2" x14ac:dyDescent="0.2">
      <c r="A289" s="13">
        <v>826</v>
      </c>
      <c r="B289" s="13">
        <v>3878</v>
      </c>
    </row>
    <row r="290" spans="1:2" x14ac:dyDescent="0.2">
      <c r="A290" s="13">
        <v>790</v>
      </c>
      <c r="B290" s="13">
        <v>4065</v>
      </c>
    </row>
    <row r="291" spans="1:2" x14ac:dyDescent="0.2">
      <c r="A291" s="13">
        <v>819.5</v>
      </c>
      <c r="B291" s="13">
        <v>4296</v>
      </c>
    </row>
    <row r="292" spans="1:2" x14ac:dyDescent="0.2">
      <c r="A292" s="13">
        <v>760.5</v>
      </c>
      <c r="B292" s="13">
        <v>3869</v>
      </c>
    </row>
    <row r="293" spans="1:2" x14ac:dyDescent="0.2">
      <c r="A293" s="13">
        <v>822.5</v>
      </c>
      <c r="B293" s="13">
        <v>4282</v>
      </c>
    </row>
    <row r="294" spans="1:2" x14ac:dyDescent="0.2">
      <c r="A294" s="13">
        <v>895</v>
      </c>
      <c r="B294" s="13">
        <v>4030</v>
      </c>
    </row>
    <row r="295" spans="1:2" x14ac:dyDescent="0.2">
      <c r="A295" s="13">
        <v>792.5</v>
      </c>
      <c r="B295" s="13">
        <v>4298</v>
      </c>
    </row>
    <row r="296" spans="1:2" x14ac:dyDescent="0.2">
      <c r="A296" s="13">
        <v>820</v>
      </c>
      <c r="B296" s="13">
        <v>3903</v>
      </c>
    </row>
    <row r="297" spans="1:2" x14ac:dyDescent="0.2">
      <c r="A297" s="13">
        <v>779</v>
      </c>
      <c r="B297" s="13">
        <v>3955</v>
      </c>
    </row>
    <row r="298" spans="1:2" x14ac:dyDescent="0.2">
      <c r="A298" s="13">
        <v>522</v>
      </c>
      <c r="B298" s="13">
        <v>1432</v>
      </c>
    </row>
    <row r="299" spans="1:2" x14ac:dyDescent="0.2">
      <c r="A299" s="13">
        <v>518.5</v>
      </c>
      <c r="B299" s="13">
        <v>1436</v>
      </c>
    </row>
    <row r="300" spans="1:2" x14ac:dyDescent="0.2">
      <c r="A300" s="13">
        <v>493</v>
      </c>
      <c r="B300" s="13">
        <v>1344</v>
      </c>
    </row>
    <row r="301" spans="1:2" x14ac:dyDescent="0.2">
      <c r="A301" s="13">
        <v>563.5</v>
      </c>
      <c r="B301" s="13">
        <v>1597</v>
      </c>
    </row>
    <row r="302" spans="1:2" x14ac:dyDescent="0.2">
      <c r="A302" s="13">
        <v>576</v>
      </c>
      <c r="B302" s="13">
        <v>1586</v>
      </c>
    </row>
    <row r="303" spans="1:2" x14ac:dyDescent="0.2">
      <c r="A303" s="13">
        <v>594</v>
      </c>
      <c r="B303" s="13">
        <v>1528</v>
      </c>
    </row>
    <row r="304" spans="1:2" x14ac:dyDescent="0.2">
      <c r="A304" s="13">
        <v>590.5</v>
      </c>
      <c r="B304" s="13">
        <v>1778</v>
      </c>
    </row>
    <row r="305" spans="1:2" x14ac:dyDescent="0.2">
      <c r="A305" s="13">
        <v>597.5</v>
      </c>
      <c r="B305" s="13">
        <v>1550</v>
      </c>
    </row>
    <row r="306" spans="1:2" x14ac:dyDescent="0.2">
      <c r="A306" s="13">
        <v>616.5</v>
      </c>
      <c r="B306" s="13">
        <v>1690</v>
      </c>
    </row>
    <row r="307" spans="1:2" x14ac:dyDescent="0.2">
      <c r="A307" s="13">
        <v>432</v>
      </c>
      <c r="B307" s="13">
        <v>174</v>
      </c>
    </row>
    <row r="308" spans="1:2" x14ac:dyDescent="0.2">
      <c r="A308" s="13">
        <v>432</v>
      </c>
      <c r="B308" s="13">
        <v>167.5</v>
      </c>
    </row>
    <row r="309" spans="1:2" x14ac:dyDescent="0.2">
      <c r="A309" s="13">
        <v>432</v>
      </c>
      <c r="B309" s="13">
        <v>162</v>
      </c>
    </row>
    <row r="310" spans="1:2" x14ac:dyDescent="0.2">
      <c r="A310" s="13">
        <v>432</v>
      </c>
      <c r="B310" s="13">
        <v>174</v>
      </c>
    </row>
    <row r="311" spans="1:2" x14ac:dyDescent="0.2">
      <c r="A311" s="13">
        <v>432</v>
      </c>
      <c r="B311" s="13">
        <v>178</v>
      </c>
    </row>
    <row r="312" spans="1:2" x14ac:dyDescent="0.2">
      <c r="A312" s="13">
        <v>432</v>
      </c>
      <c r="B312" s="13">
        <v>203.5</v>
      </c>
    </row>
    <row r="313" spans="1:2" x14ac:dyDescent="0.2">
      <c r="A313" s="13">
        <v>432</v>
      </c>
      <c r="B313" s="13">
        <v>191</v>
      </c>
    </row>
    <row r="314" spans="1:2" x14ac:dyDescent="0.2">
      <c r="A314" s="13">
        <v>432</v>
      </c>
      <c r="B314" s="13">
        <v>162</v>
      </c>
    </row>
    <row r="315" spans="1:2" x14ac:dyDescent="0.2">
      <c r="A315" s="13">
        <v>432</v>
      </c>
      <c r="B315" s="13">
        <v>162</v>
      </c>
    </row>
    <row r="316" spans="1:2" x14ac:dyDescent="0.2">
      <c r="A316" s="13">
        <v>615.5</v>
      </c>
      <c r="B316" s="13">
        <v>1640</v>
      </c>
    </row>
    <row r="317" spans="1:2" x14ac:dyDescent="0.2">
      <c r="A317" s="13">
        <v>547</v>
      </c>
      <c r="B317" s="13">
        <v>1669</v>
      </c>
    </row>
    <row r="318" spans="1:2" x14ac:dyDescent="0.2">
      <c r="A318" s="13">
        <v>619</v>
      </c>
      <c r="B318" s="13">
        <v>1892</v>
      </c>
    </row>
    <row r="319" spans="1:2" x14ac:dyDescent="0.2">
      <c r="A319" s="13">
        <v>573.5</v>
      </c>
      <c r="B319" s="13">
        <v>1881</v>
      </c>
    </row>
    <row r="320" spans="1:2" x14ac:dyDescent="0.2">
      <c r="A320" s="13">
        <v>624</v>
      </c>
      <c r="B320" s="13">
        <v>2005</v>
      </c>
    </row>
    <row r="321" spans="1:2" x14ac:dyDescent="0.2">
      <c r="A321" s="13">
        <v>657</v>
      </c>
      <c r="B321" s="13">
        <v>2025</v>
      </c>
    </row>
    <row r="322" spans="1:2" x14ac:dyDescent="0.2">
      <c r="A322" s="13">
        <v>608</v>
      </c>
      <c r="B322" s="13">
        <v>2093</v>
      </c>
    </row>
    <row r="323" spans="1:2" x14ac:dyDescent="0.2">
      <c r="A323" s="13">
        <v>616</v>
      </c>
      <c r="B323" s="13">
        <v>1773</v>
      </c>
    </row>
    <row r="324" spans="1:2" x14ac:dyDescent="0.2">
      <c r="A324" s="13">
        <v>610</v>
      </c>
      <c r="B324" s="13">
        <v>1888</v>
      </c>
    </row>
    <row r="325" spans="1:2" x14ac:dyDescent="0.2">
      <c r="A325" s="13">
        <v>454.5</v>
      </c>
      <c r="B325" s="13">
        <v>660</v>
      </c>
    </row>
    <row r="326" spans="1:2" x14ac:dyDescent="0.2">
      <c r="A326" s="13">
        <v>437.5</v>
      </c>
      <c r="B326" s="13">
        <v>615</v>
      </c>
    </row>
    <row r="327" spans="1:2" x14ac:dyDescent="0.2">
      <c r="A327" s="13">
        <v>454.5</v>
      </c>
      <c r="B327" s="13">
        <v>678</v>
      </c>
    </row>
    <row r="328" spans="1:2" x14ac:dyDescent="0.2">
      <c r="A328" s="13">
        <v>451.5</v>
      </c>
      <c r="B328" s="13">
        <v>432.5</v>
      </c>
    </row>
    <row r="329" spans="1:2" x14ac:dyDescent="0.2">
      <c r="A329" s="13">
        <v>461</v>
      </c>
      <c r="B329" s="13">
        <v>560</v>
      </c>
    </row>
    <row r="330" spans="1:2" x14ac:dyDescent="0.2">
      <c r="A330" s="13">
        <v>484.5</v>
      </c>
      <c r="B330" s="13">
        <v>523.5</v>
      </c>
    </row>
    <row r="331" spans="1:2" x14ac:dyDescent="0.2">
      <c r="A331" s="13">
        <v>449</v>
      </c>
      <c r="B331" s="13">
        <v>571.5</v>
      </c>
    </row>
    <row r="332" spans="1:2" x14ac:dyDescent="0.2">
      <c r="A332" s="13">
        <v>446</v>
      </c>
      <c r="B332" s="13">
        <v>398</v>
      </c>
    </row>
    <row r="333" spans="1:2" x14ac:dyDescent="0.2">
      <c r="A333" s="13">
        <v>443</v>
      </c>
      <c r="B333" s="13">
        <v>482</v>
      </c>
    </row>
    <row r="334" spans="1:2" x14ac:dyDescent="0.2">
      <c r="A334" s="13">
        <v>432</v>
      </c>
      <c r="B334" s="13">
        <v>380.5</v>
      </c>
    </row>
    <row r="335" spans="1:2" x14ac:dyDescent="0.2">
      <c r="A335" s="13">
        <v>432</v>
      </c>
      <c r="B335" s="13">
        <v>355.5</v>
      </c>
    </row>
    <row r="336" spans="1:2" x14ac:dyDescent="0.2">
      <c r="A336" s="13">
        <v>432</v>
      </c>
      <c r="B336" s="13">
        <v>336</v>
      </c>
    </row>
    <row r="337" spans="1:2" x14ac:dyDescent="0.2">
      <c r="A337" s="13">
        <v>432</v>
      </c>
      <c r="B337" s="13">
        <v>319</v>
      </c>
    </row>
    <row r="338" spans="1:2" x14ac:dyDescent="0.2">
      <c r="A338" s="13">
        <v>432</v>
      </c>
      <c r="B338" s="13">
        <v>392</v>
      </c>
    </row>
    <row r="339" spans="1:2" x14ac:dyDescent="0.2">
      <c r="A339" s="13">
        <v>456</v>
      </c>
      <c r="B339" s="13">
        <v>334.5</v>
      </c>
    </row>
    <row r="340" spans="1:2" x14ac:dyDescent="0.2">
      <c r="A340" s="13">
        <v>432</v>
      </c>
      <c r="B340" s="13">
        <v>371.5</v>
      </c>
    </row>
    <row r="341" spans="1:2" x14ac:dyDescent="0.2">
      <c r="A341" s="13">
        <v>432</v>
      </c>
      <c r="B341" s="13">
        <v>335</v>
      </c>
    </row>
    <row r="342" spans="1:2" x14ac:dyDescent="0.2">
      <c r="A342" s="13">
        <v>444</v>
      </c>
      <c r="B342" s="13">
        <v>464.5</v>
      </c>
    </row>
    <row r="343" spans="1:2" x14ac:dyDescent="0.2">
      <c r="A343" s="13">
        <v>604</v>
      </c>
      <c r="B343" s="13">
        <v>2188</v>
      </c>
    </row>
    <row r="344" spans="1:2" x14ac:dyDescent="0.2">
      <c r="A344" s="13">
        <v>518.5</v>
      </c>
      <c r="B344" s="13">
        <v>2047</v>
      </c>
    </row>
    <row r="345" spans="1:2" x14ac:dyDescent="0.2">
      <c r="A345" s="13">
        <v>576.5</v>
      </c>
      <c r="B345" s="13">
        <v>2426</v>
      </c>
    </row>
    <row r="346" spans="1:2" x14ac:dyDescent="0.2">
      <c r="A346" s="13">
        <v>483</v>
      </c>
      <c r="B346" s="13">
        <v>2112</v>
      </c>
    </row>
    <row r="347" spans="1:2" x14ac:dyDescent="0.2">
      <c r="A347" s="13">
        <v>578.5</v>
      </c>
      <c r="B347" s="13">
        <v>2536</v>
      </c>
    </row>
    <row r="348" spans="1:2" x14ac:dyDescent="0.2">
      <c r="A348" s="13">
        <v>633.5</v>
      </c>
      <c r="B348" s="13">
        <v>2163</v>
      </c>
    </row>
    <row r="349" spans="1:2" x14ac:dyDescent="0.2">
      <c r="A349" s="13">
        <v>599.5</v>
      </c>
      <c r="B349" s="13">
        <v>2560</v>
      </c>
    </row>
    <row r="350" spans="1:2" x14ac:dyDescent="0.2">
      <c r="A350" s="13">
        <v>549.5</v>
      </c>
      <c r="B350" s="13">
        <v>2171</v>
      </c>
    </row>
    <row r="351" spans="1:2" x14ac:dyDescent="0.2">
      <c r="A351" s="13">
        <v>592.5</v>
      </c>
      <c r="B351" s="13">
        <v>2393</v>
      </c>
    </row>
    <row r="352" spans="1:2" x14ac:dyDescent="0.2">
      <c r="A352" s="13">
        <v>432</v>
      </c>
      <c r="B352" s="13">
        <v>209.5</v>
      </c>
    </row>
    <row r="353" spans="1:2" x14ac:dyDescent="0.2">
      <c r="A353" s="13">
        <v>432</v>
      </c>
      <c r="B353" s="13">
        <v>221</v>
      </c>
    </row>
    <row r="354" spans="1:2" x14ac:dyDescent="0.2">
      <c r="A354" s="13">
        <v>432</v>
      </c>
      <c r="B354" s="13">
        <v>231.5</v>
      </c>
    </row>
    <row r="355" spans="1:2" x14ac:dyDescent="0.2">
      <c r="A355" s="13">
        <v>432</v>
      </c>
      <c r="B355" s="13">
        <v>179.5</v>
      </c>
    </row>
    <row r="356" spans="1:2" x14ac:dyDescent="0.2">
      <c r="A356" s="13">
        <v>432</v>
      </c>
      <c r="B356" s="13">
        <v>210.5</v>
      </c>
    </row>
    <row r="357" spans="1:2" x14ac:dyDescent="0.2">
      <c r="A357" s="13">
        <v>432</v>
      </c>
      <c r="B357" s="13">
        <v>200</v>
      </c>
    </row>
    <row r="358" spans="1:2" x14ac:dyDescent="0.2">
      <c r="A358" s="13">
        <v>432</v>
      </c>
      <c r="B358" s="13">
        <v>256.5</v>
      </c>
    </row>
    <row r="359" spans="1:2" x14ac:dyDescent="0.2">
      <c r="A359" s="13">
        <v>432</v>
      </c>
      <c r="B359" s="13">
        <v>174</v>
      </c>
    </row>
    <row r="360" spans="1:2" x14ac:dyDescent="0.2">
      <c r="A360" s="13">
        <v>432</v>
      </c>
      <c r="B360" s="13">
        <v>214</v>
      </c>
    </row>
    <row r="361" spans="1:2" x14ac:dyDescent="0.2">
      <c r="A361" s="13">
        <v>445</v>
      </c>
      <c r="B361" s="13">
        <v>576</v>
      </c>
    </row>
    <row r="362" spans="1:2" x14ac:dyDescent="0.2">
      <c r="A362" s="13">
        <v>432</v>
      </c>
      <c r="B362" s="13">
        <v>607.5</v>
      </c>
    </row>
    <row r="363" spans="1:2" x14ac:dyDescent="0.2">
      <c r="A363" s="13">
        <v>437.5</v>
      </c>
      <c r="B363" s="13">
        <v>618</v>
      </c>
    </row>
    <row r="364" spans="1:2" x14ac:dyDescent="0.2">
      <c r="A364" s="13">
        <v>448</v>
      </c>
      <c r="B364" s="13">
        <v>573.5</v>
      </c>
    </row>
    <row r="365" spans="1:2" x14ac:dyDescent="0.2">
      <c r="A365" s="13">
        <v>444.5</v>
      </c>
      <c r="B365" s="13">
        <v>578</v>
      </c>
    </row>
    <row r="366" spans="1:2" x14ac:dyDescent="0.2">
      <c r="A366" s="13">
        <v>472</v>
      </c>
      <c r="B366" s="13">
        <v>544.5</v>
      </c>
    </row>
    <row r="367" spans="1:2" x14ac:dyDescent="0.2">
      <c r="A367" s="13">
        <v>452.5</v>
      </c>
      <c r="B367" s="13">
        <v>683</v>
      </c>
    </row>
    <row r="368" spans="1:2" x14ac:dyDescent="0.2">
      <c r="A368" s="13">
        <v>463.5</v>
      </c>
      <c r="B368" s="13">
        <v>510.5</v>
      </c>
    </row>
    <row r="369" spans="1:2" x14ac:dyDescent="0.2">
      <c r="A369" s="13">
        <v>449.5</v>
      </c>
      <c r="B369" s="13">
        <v>566</v>
      </c>
    </row>
    <row r="370" spans="1:2" x14ac:dyDescent="0.2">
      <c r="A370" s="13">
        <v>432</v>
      </c>
      <c r="B370" s="13">
        <v>178.5</v>
      </c>
    </row>
    <row r="371" spans="1:2" x14ac:dyDescent="0.2">
      <c r="A371" s="13">
        <v>432</v>
      </c>
      <c r="B371" s="13">
        <v>191</v>
      </c>
    </row>
    <row r="372" spans="1:2" x14ac:dyDescent="0.2">
      <c r="A372" s="13">
        <v>432</v>
      </c>
      <c r="B372" s="13">
        <v>188.5</v>
      </c>
    </row>
    <row r="373" spans="1:2" x14ac:dyDescent="0.2">
      <c r="A373" s="13">
        <v>432</v>
      </c>
      <c r="B373" s="13">
        <v>209.5</v>
      </c>
    </row>
    <row r="374" spans="1:2" x14ac:dyDescent="0.2">
      <c r="A374" s="13">
        <v>432</v>
      </c>
      <c r="B374" s="13">
        <v>211</v>
      </c>
    </row>
    <row r="375" spans="1:2" x14ac:dyDescent="0.2">
      <c r="A375" s="13">
        <v>432</v>
      </c>
      <c r="B375" s="13">
        <v>204</v>
      </c>
    </row>
    <row r="376" spans="1:2" x14ac:dyDescent="0.2">
      <c r="A376" s="13">
        <v>432</v>
      </c>
      <c r="B376" s="13">
        <v>221.5</v>
      </c>
    </row>
    <row r="377" spans="1:2" x14ac:dyDescent="0.2">
      <c r="A377" s="13">
        <v>432</v>
      </c>
      <c r="B377" s="13">
        <v>205</v>
      </c>
    </row>
    <row r="378" spans="1:2" x14ac:dyDescent="0.2">
      <c r="A378" s="13">
        <v>432</v>
      </c>
      <c r="B378" s="13">
        <v>203.5</v>
      </c>
    </row>
    <row r="379" spans="1:2" x14ac:dyDescent="0.2">
      <c r="A379" s="13">
        <v>511.5</v>
      </c>
      <c r="B379" s="13">
        <v>1096</v>
      </c>
    </row>
    <row r="380" spans="1:2" x14ac:dyDescent="0.2">
      <c r="A380" s="13">
        <v>501.5</v>
      </c>
      <c r="B380" s="13">
        <v>1117</v>
      </c>
    </row>
    <row r="381" spans="1:2" x14ac:dyDescent="0.2">
      <c r="A381" s="13">
        <v>510</v>
      </c>
      <c r="B381" s="13">
        <v>1192</v>
      </c>
    </row>
    <row r="382" spans="1:2" x14ac:dyDescent="0.2">
      <c r="A382" s="13">
        <v>492.5</v>
      </c>
      <c r="B382" s="13">
        <v>1200.5</v>
      </c>
    </row>
    <row r="383" spans="1:2" x14ac:dyDescent="0.2">
      <c r="A383" s="13">
        <v>553.5</v>
      </c>
      <c r="B383" s="13">
        <v>1259.5</v>
      </c>
    </row>
    <row r="384" spans="1:2" x14ac:dyDescent="0.2">
      <c r="A384" s="13">
        <v>606</v>
      </c>
      <c r="B384" s="13">
        <v>1248</v>
      </c>
    </row>
    <row r="385" spans="1:2" x14ac:dyDescent="0.2">
      <c r="A385" s="13">
        <v>512.5</v>
      </c>
      <c r="B385" s="13">
        <v>1438</v>
      </c>
    </row>
    <row r="386" spans="1:2" x14ac:dyDescent="0.2">
      <c r="A386" s="13">
        <v>584</v>
      </c>
      <c r="B386" s="13">
        <v>1212</v>
      </c>
    </row>
    <row r="387" spans="1:2" x14ac:dyDescent="0.2">
      <c r="A387" s="13">
        <v>574</v>
      </c>
      <c r="B387" s="13">
        <v>1321</v>
      </c>
    </row>
    <row r="388" spans="1:2" x14ac:dyDescent="0.2">
      <c r="A388" s="13">
        <v>953</v>
      </c>
      <c r="B388" s="13">
        <v>2512</v>
      </c>
    </row>
    <row r="389" spans="1:2" x14ac:dyDescent="0.2">
      <c r="A389" s="13">
        <v>752</v>
      </c>
      <c r="B389" s="13">
        <v>2435</v>
      </c>
    </row>
    <row r="390" spans="1:2" x14ac:dyDescent="0.2">
      <c r="A390" s="13">
        <v>746</v>
      </c>
      <c r="B390" s="13">
        <v>2473</v>
      </c>
    </row>
    <row r="391" spans="1:2" x14ac:dyDescent="0.2">
      <c r="A391" s="13">
        <v>722</v>
      </c>
      <c r="B391" s="13">
        <v>2435</v>
      </c>
    </row>
    <row r="392" spans="1:2" x14ac:dyDescent="0.2">
      <c r="A392" s="13">
        <v>915.5</v>
      </c>
      <c r="B392" s="13">
        <v>2608</v>
      </c>
    </row>
    <row r="393" spans="1:2" x14ac:dyDescent="0.2">
      <c r="A393" s="13">
        <v>1074</v>
      </c>
      <c r="B393" s="13">
        <v>2552</v>
      </c>
    </row>
    <row r="394" spans="1:2" x14ac:dyDescent="0.2">
      <c r="A394" s="13">
        <v>814.5</v>
      </c>
      <c r="B394" s="13">
        <v>2575</v>
      </c>
    </row>
    <row r="395" spans="1:2" x14ac:dyDescent="0.2">
      <c r="A395" s="13">
        <v>776</v>
      </c>
      <c r="B395" s="13">
        <v>2260</v>
      </c>
    </row>
    <row r="396" spans="1:2" x14ac:dyDescent="0.2">
      <c r="A396" s="13">
        <v>827</v>
      </c>
      <c r="B396" s="13">
        <v>2290</v>
      </c>
    </row>
    <row r="397" spans="1:2" x14ac:dyDescent="0.2">
      <c r="A397" s="13">
        <v>432</v>
      </c>
      <c r="B397" s="13">
        <v>237</v>
      </c>
    </row>
    <row r="398" spans="1:2" x14ac:dyDescent="0.2">
      <c r="A398" s="13">
        <v>432</v>
      </c>
      <c r="B398" s="13">
        <v>281</v>
      </c>
    </row>
    <row r="399" spans="1:2" x14ac:dyDescent="0.2">
      <c r="A399" s="13">
        <v>432</v>
      </c>
      <c r="B399" s="13">
        <v>284</v>
      </c>
    </row>
    <row r="400" spans="1:2" x14ac:dyDescent="0.2">
      <c r="A400" s="13">
        <v>432</v>
      </c>
      <c r="B400" s="13">
        <v>269.5</v>
      </c>
    </row>
    <row r="401" spans="1:2" x14ac:dyDescent="0.2">
      <c r="A401" s="13">
        <v>432</v>
      </c>
      <c r="B401" s="13">
        <v>333.5</v>
      </c>
    </row>
    <row r="402" spans="1:2" x14ac:dyDescent="0.2">
      <c r="A402" s="13">
        <v>432</v>
      </c>
      <c r="B402" s="13">
        <v>289.5</v>
      </c>
    </row>
    <row r="403" spans="1:2" x14ac:dyDescent="0.2">
      <c r="A403" s="13">
        <v>432</v>
      </c>
      <c r="B403" s="13">
        <v>287</v>
      </c>
    </row>
    <row r="404" spans="1:2" x14ac:dyDescent="0.2">
      <c r="A404" s="13">
        <v>432</v>
      </c>
      <c r="B404" s="13">
        <v>291</v>
      </c>
    </row>
    <row r="405" spans="1:2" x14ac:dyDescent="0.2">
      <c r="A405" s="13">
        <v>432</v>
      </c>
      <c r="B405" s="13">
        <v>239.5</v>
      </c>
    </row>
    <row r="406" spans="1:2" x14ac:dyDescent="0.2">
      <c r="A406" s="13">
        <v>432</v>
      </c>
      <c r="B406" s="13">
        <v>162</v>
      </c>
    </row>
    <row r="407" spans="1:2" x14ac:dyDescent="0.2">
      <c r="A407" s="13">
        <v>432</v>
      </c>
      <c r="B407" s="13">
        <v>162</v>
      </c>
    </row>
    <row r="408" spans="1:2" x14ac:dyDescent="0.2">
      <c r="A408" s="13">
        <v>432</v>
      </c>
      <c r="B408" s="13">
        <v>162</v>
      </c>
    </row>
    <row r="409" spans="1:2" x14ac:dyDescent="0.2">
      <c r="A409" s="13">
        <v>432</v>
      </c>
      <c r="B409" s="13">
        <v>162</v>
      </c>
    </row>
    <row r="410" spans="1:2" x14ac:dyDescent="0.2">
      <c r="A410" s="13">
        <v>432</v>
      </c>
      <c r="B410" s="13">
        <v>162</v>
      </c>
    </row>
    <row r="411" spans="1:2" x14ac:dyDescent="0.2">
      <c r="A411" s="13">
        <v>432</v>
      </c>
      <c r="B411" s="13">
        <v>162</v>
      </c>
    </row>
    <row r="412" spans="1:2" x14ac:dyDescent="0.2">
      <c r="A412" s="13">
        <v>432</v>
      </c>
      <c r="B412" s="13">
        <v>177.5</v>
      </c>
    </row>
    <row r="413" spans="1:2" x14ac:dyDescent="0.2">
      <c r="A413" s="13">
        <v>432</v>
      </c>
      <c r="B413" s="13">
        <v>162</v>
      </c>
    </row>
    <row r="414" spans="1:2" x14ac:dyDescent="0.2">
      <c r="A414" s="13">
        <v>432</v>
      </c>
      <c r="B414" s="13">
        <v>162</v>
      </c>
    </row>
    <row r="415" spans="1:2" x14ac:dyDescent="0.2">
      <c r="A415" s="13">
        <v>458</v>
      </c>
      <c r="B415" s="13">
        <v>1029</v>
      </c>
    </row>
    <row r="416" spans="1:2" x14ac:dyDescent="0.2">
      <c r="A416" s="13">
        <v>432</v>
      </c>
      <c r="B416" s="13">
        <v>1041</v>
      </c>
    </row>
    <row r="417" spans="1:2" x14ac:dyDescent="0.2">
      <c r="A417" s="13">
        <v>481.5</v>
      </c>
      <c r="B417" s="13">
        <v>1204</v>
      </c>
    </row>
    <row r="418" spans="1:2" x14ac:dyDescent="0.2">
      <c r="A418" s="13">
        <v>443</v>
      </c>
      <c r="B418" s="13">
        <v>1109.5</v>
      </c>
    </row>
    <row r="419" spans="1:2" x14ac:dyDescent="0.2">
      <c r="A419" s="13">
        <v>460</v>
      </c>
      <c r="B419" s="13">
        <v>1230.5</v>
      </c>
    </row>
    <row r="420" spans="1:2" x14ac:dyDescent="0.2">
      <c r="A420" s="13">
        <v>526.5</v>
      </c>
      <c r="B420" s="13">
        <v>1229</v>
      </c>
    </row>
    <row r="421" spans="1:2" x14ac:dyDescent="0.2">
      <c r="A421" s="13">
        <v>497</v>
      </c>
      <c r="B421" s="13">
        <v>1206</v>
      </c>
    </row>
    <row r="422" spans="1:2" x14ac:dyDescent="0.2">
      <c r="A422" s="13">
        <v>485</v>
      </c>
      <c r="B422" s="13">
        <v>982</v>
      </c>
    </row>
    <row r="423" spans="1:2" x14ac:dyDescent="0.2">
      <c r="A423" s="13">
        <v>490</v>
      </c>
      <c r="B423" s="13">
        <v>1036</v>
      </c>
    </row>
    <row r="424" spans="1:2" x14ac:dyDescent="0.2">
      <c r="A424" s="13">
        <v>470</v>
      </c>
      <c r="B424" s="13">
        <v>544</v>
      </c>
    </row>
    <row r="425" spans="1:2" x14ac:dyDescent="0.2">
      <c r="A425" s="13">
        <v>438.5</v>
      </c>
      <c r="B425" s="13">
        <v>472</v>
      </c>
    </row>
    <row r="426" spans="1:2" x14ac:dyDescent="0.2">
      <c r="A426" s="13">
        <v>439.5</v>
      </c>
      <c r="B426" s="13">
        <v>614</v>
      </c>
    </row>
    <row r="427" spans="1:2" x14ac:dyDescent="0.2">
      <c r="A427" s="13">
        <v>432</v>
      </c>
      <c r="B427" s="13">
        <v>579.5</v>
      </c>
    </row>
    <row r="428" spans="1:2" x14ac:dyDescent="0.2">
      <c r="A428" s="13">
        <v>437.5</v>
      </c>
      <c r="B428" s="13">
        <v>650</v>
      </c>
    </row>
    <row r="429" spans="1:2" x14ac:dyDescent="0.2">
      <c r="A429" s="13">
        <v>469</v>
      </c>
      <c r="B429" s="13">
        <v>558.5</v>
      </c>
    </row>
    <row r="430" spans="1:2" x14ac:dyDescent="0.2">
      <c r="A430" s="13">
        <v>432</v>
      </c>
      <c r="B430" s="13">
        <v>711.5</v>
      </c>
    </row>
    <row r="431" spans="1:2" x14ac:dyDescent="0.2">
      <c r="A431" s="13">
        <v>457.5</v>
      </c>
      <c r="B431" s="13">
        <v>644.5</v>
      </c>
    </row>
    <row r="432" spans="1:2" x14ac:dyDescent="0.2">
      <c r="A432" s="13">
        <v>466</v>
      </c>
      <c r="B432" s="13">
        <v>868.5</v>
      </c>
    </row>
    <row r="433" spans="1:2" x14ac:dyDescent="0.2">
      <c r="A433" s="13">
        <v>437.5</v>
      </c>
      <c r="B433" s="13">
        <v>350</v>
      </c>
    </row>
    <row r="434" spans="1:2" x14ac:dyDescent="0.2">
      <c r="A434" s="13">
        <v>432</v>
      </c>
      <c r="B434" s="13">
        <v>361.5</v>
      </c>
    </row>
    <row r="435" spans="1:2" x14ac:dyDescent="0.2">
      <c r="A435" s="13">
        <v>432</v>
      </c>
      <c r="B435" s="13">
        <v>338</v>
      </c>
    </row>
    <row r="436" spans="1:2" x14ac:dyDescent="0.2">
      <c r="A436" s="13">
        <v>432</v>
      </c>
      <c r="B436" s="13">
        <v>344.5</v>
      </c>
    </row>
    <row r="437" spans="1:2" x14ac:dyDescent="0.2">
      <c r="A437" s="13">
        <v>432</v>
      </c>
      <c r="B437" s="13">
        <v>396</v>
      </c>
    </row>
    <row r="438" spans="1:2" x14ac:dyDescent="0.2">
      <c r="A438" s="13">
        <v>446</v>
      </c>
      <c r="B438" s="13">
        <v>344</v>
      </c>
    </row>
    <row r="439" spans="1:2" x14ac:dyDescent="0.2">
      <c r="A439" s="13">
        <v>432</v>
      </c>
      <c r="B439" s="13">
        <v>408</v>
      </c>
    </row>
    <row r="440" spans="1:2" x14ac:dyDescent="0.2">
      <c r="A440" s="13">
        <v>432</v>
      </c>
      <c r="B440" s="13">
        <v>306</v>
      </c>
    </row>
    <row r="441" spans="1:2" x14ac:dyDescent="0.2">
      <c r="A441" s="13">
        <v>432</v>
      </c>
      <c r="B441" s="13">
        <v>366</v>
      </c>
    </row>
    <row r="442" spans="1:2" x14ac:dyDescent="0.2">
      <c r="A442" s="13">
        <v>445</v>
      </c>
      <c r="B442" s="13">
        <v>818</v>
      </c>
    </row>
    <row r="443" spans="1:2" x14ac:dyDescent="0.2">
      <c r="A443" s="13">
        <v>432</v>
      </c>
      <c r="B443" s="13">
        <v>780</v>
      </c>
    </row>
    <row r="444" spans="1:2" x14ac:dyDescent="0.2">
      <c r="A444" s="13">
        <v>432</v>
      </c>
      <c r="B444" s="13">
        <v>846.5</v>
      </c>
    </row>
    <row r="445" spans="1:2" x14ac:dyDescent="0.2">
      <c r="A445" s="13">
        <v>432</v>
      </c>
      <c r="B445" s="13">
        <v>880.5</v>
      </c>
    </row>
    <row r="446" spans="1:2" x14ac:dyDescent="0.2">
      <c r="A446" s="13">
        <v>447</v>
      </c>
      <c r="B446" s="13">
        <v>976</v>
      </c>
    </row>
    <row r="447" spans="1:2" x14ac:dyDescent="0.2">
      <c r="A447" s="13">
        <v>458</v>
      </c>
      <c r="B447" s="13">
        <v>837.5</v>
      </c>
    </row>
    <row r="448" spans="1:2" x14ac:dyDescent="0.2">
      <c r="A448" s="13">
        <v>432</v>
      </c>
      <c r="B448" s="13">
        <v>925.5</v>
      </c>
    </row>
    <row r="449" spans="1:2" x14ac:dyDescent="0.2">
      <c r="A449" s="13">
        <v>458</v>
      </c>
      <c r="B449" s="13">
        <v>714.5</v>
      </c>
    </row>
    <row r="450" spans="1:2" x14ac:dyDescent="0.2">
      <c r="A450" s="13">
        <v>446</v>
      </c>
      <c r="B450" s="13">
        <v>833</v>
      </c>
    </row>
    <row r="451" spans="1:2" x14ac:dyDescent="0.2">
      <c r="A451" s="13">
        <v>432</v>
      </c>
      <c r="B451" s="13">
        <v>167.5</v>
      </c>
    </row>
    <row r="452" spans="1:2" x14ac:dyDescent="0.2">
      <c r="A452" s="13">
        <v>432</v>
      </c>
      <c r="B452" s="13">
        <v>167.5</v>
      </c>
    </row>
    <row r="453" spans="1:2" x14ac:dyDescent="0.2">
      <c r="A453" s="13">
        <v>432</v>
      </c>
      <c r="B453" s="13">
        <v>175</v>
      </c>
    </row>
    <row r="454" spans="1:2" x14ac:dyDescent="0.2">
      <c r="A454" s="13">
        <v>432</v>
      </c>
      <c r="B454" s="13">
        <v>162</v>
      </c>
    </row>
    <row r="455" spans="1:2" x14ac:dyDescent="0.2">
      <c r="A455" s="13">
        <v>432</v>
      </c>
      <c r="B455" s="13">
        <v>169.5</v>
      </c>
    </row>
    <row r="456" spans="1:2" x14ac:dyDescent="0.2">
      <c r="A456" s="13">
        <v>432</v>
      </c>
      <c r="B456" s="13">
        <v>162</v>
      </c>
    </row>
    <row r="457" spans="1:2" x14ac:dyDescent="0.2">
      <c r="A457" s="13">
        <v>432</v>
      </c>
      <c r="B457" s="13">
        <v>162</v>
      </c>
    </row>
    <row r="458" spans="1:2" x14ac:dyDescent="0.2">
      <c r="A458" s="13">
        <v>432</v>
      </c>
      <c r="B458" s="13">
        <v>162</v>
      </c>
    </row>
    <row r="459" spans="1:2" x14ac:dyDescent="0.2">
      <c r="A459" s="13">
        <v>432</v>
      </c>
      <c r="B459" s="13">
        <v>175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402C-1060-5A40-8B51-9B2DC782CE3B}">
  <dimension ref="A1:C7"/>
  <sheetViews>
    <sheetView workbookViewId="0">
      <selection activeCell="F13" sqref="F13"/>
    </sheetView>
  </sheetViews>
  <sheetFormatPr baseColWidth="10" defaultRowHeight="16" x14ac:dyDescent="0.2"/>
  <cols>
    <col min="2" max="2" width="15.6640625" customWidth="1"/>
    <col min="3" max="3" width="11.5" customWidth="1"/>
  </cols>
  <sheetData>
    <row r="1" spans="1:3" x14ac:dyDescent="0.2">
      <c r="A1" s="14" t="s">
        <v>536</v>
      </c>
      <c r="B1" s="14" t="s">
        <v>528</v>
      </c>
      <c r="C1" s="14" t="s">
        <v>527</v>
      </c>
    </row>
    <row r="2" spans="1:3" x14ac:dyDescent="0.2">
      <c r="A2" t="s">
        <v>537</v>
      </c>
      <c r="B2" s="9">
        <f>MIN(Chart2_Data!A:A)</f>
        <v>432</v>
      </c>
      <c r="C2" s="9">
        <f>MIN(Chart2_Data!B:B)</f>
        <v>162</v>
      </c>
    </row>
    <row r="3" spans="1:3" x14ac:dyDescent="0.2">
      <c r="A3" t="s">
        <v>538</v>
      </c>
      <c r="B3" s="9">
        <f>QUARTILE(Chart2_Data!A:A,1)</f>
        <v>432</v>
      </c>
      <c r="C3" s="9">
        <f>QUARTILE(Chart2_Data!B:B,1)</f>
        <v>256.125</v>
      </c>
    </row>
    <row r="4" spans="1:3" x14ac:dyDescent="0.2">
      <c r="A4" t="s">
        <v>539</v>
      </c>
      <c r="B4" s="9">
        <f>MEDIAN(Chart2_Data!A:A)</f>
        <v>438.5</v>
      </c>
      <c r="C4" s="9">
        <f>MEDIAN(Chart2_Data!B:B)</f>
        <v>571.25</v>
      </c>
    </row>
    <row r="5" spans="1:3" x14ac:dyDescent="0.2">
      <c r="A5" t="s">
        <v>540</v>
      </c>
      <c r="B5" s="9">
        <f>QUARTILE(Chart2_Data!A:A,3)</f>
        <v>484.125</v>
      </c>
      <c r="C5" s="9">
        <f>QUARTILE(Chart2_Data!B:B,3)</f>
        <v>1115.375</v>
      </c>
    </row>
    <row r="6" spans="1:3" x14ac:dyDescent="0.2">
      <c r="A6" t="s">
        <v>541</v>
      </c>
      <c r="B6" s="9">
        <f>MAX(Chart2_Data!A:A)</f>
        <v>1311.5</v>
      </c>
      <c r="C6" s="9">
        <f>MAX(Chart2_Data!B:B)</f>
        <v>5694</v>
      </c>
    </row>
    <row r="7" spans="1:3" x14ac:dyDescent="0.2">
      <c r="A7" t="s">
        <v>542</v>
      </c>
      <c r="B7" s="9">
        <f>AVERAGE(Chart2_Data!A:A)</f>
        <v>491.91484716157203</v>
      </c>
      <c r="C7" s="9">
        <f>AVERAGE(Chart2_Data!B:B)</f>
        <v>891.69104803493451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6E2A-8689-1743-8291-5EFD50AC5C07}">
  <dimension ref="A1:D459"/>
  <sheetViews>
    <sheetView workbookViewId="0">
      <selection activeCell="K38" sqref="K38:M42"/>
    </sheetView>
  </sheetViews>
  <sheetFormatPr baseColWidth="10" defaultRowHeight="16" x14ac:dyDescent="0.2"/>
  <cols>
    <col min="1" max="1" width="12.83203125" bestFit="1" customWidth="1"/>
    <col min="2" max="2" width="15.6640625" bestFit="1" customWidth="1"/>
    <col min="3" max="3" width="11.6640625" bestFit="1" customWidth="1"/>
    <col min="4" max="4" width="14.5" bestFit="1" customWidth="1"/>
  </cols>
  <sheetData>
    <row r="1" spans="1:4" x14ac:dyDescent="0.2">
      <c r="A1" s="2" t="s">
        <v>4</v>
      </c>
      <c r="B1" s="3" t="s">
        <v>6</v>
      </c>
      <c r="C1" s="2" t="s">
        <v>5</v>
      </c>
      <c r="D1" s="3" t="s">
        <v>7</v>
      </c>
    </row>
    <row r="2" spans="1:4" x14ac:dyDescent="0.2">
      <c r="A2" s="10">
        <v>4077928.781</v>
      </c>
      <c r="B2" s="8">
        <v>464.5</v>
      </c>
      <c r="C2" s="10">
        <v>636565.92599999998</v>
      </c>
      <c r="D2" s="8">
        <v>727</v>
      </c>
    </row>
    <row r="3" spans="1:4" x14ac:dyDescent="0.2">
      <c r="A3" s="10">
        <v>4207655.7259999998</v>
      </c>
      <c r="B3" s="8">
        <v>464.5</v>
      </c>
      <c r="C3" s="10">
        <v>657917.51100000006</v>
      </c>
      <c r="D3" s="8">
        <v>763</v>
      </c>
    </row>
    <row r="4" spans="1:4" x14ac:dyDescent="0.2">
      <c r="A4" s="10">
        <v>4382426.7300000004</v>
      </c>
      <c r="B4" s="8">
        <v>443</v>
      </c>
      <c r="C4" s="10">
        <v>698905.821</v>
      </c>
      <c r="D4" s="8">
        <v>769.5</v>
      </c>
    </row>
    <row r="5" spans="1:4" x14ac:dyDescent="0.2">
      <c r="A5" s="10">
        <v>4185178.0260000001</v>
      </c>
      <c r="B5" s="8">
        <v>448</v>
      </c>
      <c r="C5" s="10">
        <v>681170.77500000002</v>
      </c>
      <c r="D5" s="8">
        <v>754</v>
      </c>
    </row>
    <row r="6" spans="1:4" x14ac:dyDescent="0.2">
      <c r="A6" s="10">
        <v>4179281.43</v>
      </c>
      <c r="B6" s="8">
        <v>499</v>
      </c>
      <c r="C6" s="10">
        <v>698711.18299999996</v>
      </c>
      <c r="D6" s="8">
        <v>789.5</v>
      </c>
    </row>
    <row r="7" spans="1:4" x14ac:dyDescent="0.2">
      <c r="A7" s="10">
        <v>3956957.0359999998</v>
      </c>
      <c r="B7" s="8">
        <v>510</v>
      </c>
      <c r="C7" s="10">
        <v>664451.92799999996</v>
      </c>
      <c r="D7" s="8">
        <v>782</v>
      </c>
    </row>
    <row r="8" spans="1:4" x14ac:dyDescent="0.2">
      <c r="A8" s="10">
        <v>4022073.395</v>
      </c>
      <c r="B8" s="8">
        <v>498</v>
      </c>
      <c r="C8" s="10">
        <v>704792.78099999996</v>
      </c>
      <c r="D8" s="8">
        <v>884</v>
      </c>
    </row>
    <row r="9" spans="1:4" x14ac:dyDescent="0.2">
      <c r="A9" s="10">
        <v>4173074.8080000002</v>
      </c>
      <c r="B9" s="8">
        <v>509.5</v>
      </c>
      <c r="C9" s="10">
        <v>765967.76</v>
      </c>
      <c r="D9" s="8">
        <v>757</v>
      </c>
    </row>
    <row r="10" spans="1:4" x14ac:dyDescent="0.2">
      <c r="A10" s="10">
        <v>4010307</v>
      </c>
      <c r="B10" s="8">
        <v>500</v>
      </c>
      <c r="C10" s="10">
        <v>751405</v>
      </c>
      <c r="D10" s="8">
        <v>940</v>
      </c>
    </row>
    <row r="11" spans="1:4" x14ac:dyDescent="0.2">
      <c r="A11" s="10">
        <v>680233.96200000006</v>
      </c>
      <c r="B11" s="8">
        <v>432</v>
      </c>
      <c r="C11" s="10">
        <v>54809.243000000002</v>
      </c>
      <c r="D11" s="8">
        <v>162</v>
      </c>
    </row>
    <row r="12" spans="1:4" x14ac:dyDescent="0.2">
      <c r="A12" s="11">
        <v>648359.84</v>
      </c>
      <c r="B12" s="8">
        <v>432</v>
      </c>
      <c r="C12" s="10">
        <v>54259.91</v>
      </c>
      <c r="D12" s="8">
        <v>162</v>
      </c>
    </row>
    <row r="13" spans="1:4" x14ac:dyDescent="0.2">
      <c r="A13" s="11">
        <v>624306.16099999996</v>
      </c>
      <c r="B13" s="8">
        <v>432</v>
      </c>
      <c r="C13" s="10">
        <v>53307.000999999997</v>
      </c>
      <c r="D13" s="8">
        <v>162</v>
      </c>
    </row>
    <row r="14" spans="1:4" x14ac:dyDescent="0.2">
      <c r="A14" s="10">
        <v>622588.28399999999</v>
      </c>
      <c r="B14" s="8">
        <v>432</v>
      </c>
      <c r="C14" s="10">
        <v>53256.262999999999</v>
      </c>
      <c r="D14" s="8">
        <v>162</v>
      </c>
    </row>
    <row r="15" spans="1:4" x14ac:dyDescent="0.2">
      <c r="A15" s="11">
        <v>661008.99699999997</v>
      </c>
      <c r="B15" s="8">
        <v>432</v>
      </c>
      <c r="C15" s="10">
        <v>63134.807000000001</v>
      </c>
      <c r="D15" s="8">
        <v>162</v>
      </c>
    </row>
    <row r="16" spans="1:4" x14ac:dyDescent="0.2">
      <c r="A16" s="10">
        <v>589629.27800000005</v>
      </c>
      <c r="B16" s="8">
        <v>432</v>
      </c>
      <c r="C16" s="10">
        <v>58239.516000000003</v>
      </c>
      <c r="D16" s="8">
        <v>162</v>
      </c>
    </row>
    <row r="17" spans="1:4" x14ac:dyDescent="0.2">
      <c r="A17" s="10">
        <v>636479.33100000001</v>
      </c>
      <c r="B17" s="8">
        <v>432</v>
      </c>
      <c r="C17" s="10">
        <v>68737.627999999997</v>
      </c>
      <c r="D17" s="8">
        <v>162</v>
      </c>
    </row>
    <row r="18" spans="1:4" x14ac:dyDescent="0.2">
      <c r="A18" s="10">
        <v>651876.82200000004</v>
      </c>
      <c r="B18" s="8">
        <v>432</v>
      </c>
      <c r="C18" s="10">
        <v>76259.937999999995</v>
      </c>
      <c r="D18" s="8">
        <v>162</v>
      </c>
    </row>
    <row r="19" spans="1:4" x14ac:dyDescent="0.2">
      <c r="A19" s="10">
        <v>651681</v>
      </c>
      <c r="B19" s="8">
        <v>432</v>
      </c>
      <c r="C19" s="10">
        <v>79935</v>
      </c>
      <c r="D19" s="8">
        <v>162</v>
      </c>
    </row>
    <row r="20" spans="1:4" x14ac:dyDescent="0.2">
      <c r="A20" s="10">
        <v>5508902.5250000004</v>
      </c>
      <c r="B20" s="8">
        <v>478.5</v>
      </c>
      <c r="C20" s="10">
        <v>814059.98300000001</v>
      </c>
      <c r="D20" s="8">
        <v>788</v>
      </c>
    </row>
    <row r="21" spans="1:4" x14ac:dyDescent="0.2">
      <c r="A21" s="10">
        <v>5441128.7070000004</v>
      </c>
      <c r="B21" s="8">
        <v>449</v>
      </c>
      <c r="C21" s="11">
        <v>838437.56699999899</v>
      </c>
      <c r="D21" s="8">
        <v>596</v>
      </c>
    </row>
    <row r="22" spans="1:4" x14ac:dyDescent="0.2">
      <c r="A22" s="10">
        <v>5439685.4230000004</v>
      </c>
      <c r="B22" s="8">
        <v>437.5</v>
      </c>
      <c r="C22" s="10">
        <v>859870.99199999997</v>
      </c>
      <c r="D22" s="8">
        <v>558</v>
      </c>
    </row>
    <row r="23" spans="1:4" x14ac:dyDescent="0.2">
      <c r="A23" s="10">
        <v>5558974.7869999995</v>
      </c>
      <c r="B23" s="8">
        <v>438.5</v>
      </c>
      <c r="C23" s="10">
        <v>894933.28</v>
      </c>
      <c r="D23" s="8">
        <v>552</v>
      </c>
    </row>
    <row r="24" spans="1:4" x14ac:dyDescent="0.2">
      <c r="A24" s="10">
        <v>5583920.7640000004</v>
      </c>
      <c r="B24" s="8">
        <v>437.5</v>
      </c>
      <c r="C24" s="10">
        <v>932562.51</v>
      </c>
      <c r="D24" s="8">
        <v>628</v>
      </c>
    </row>
    <row r="25" spans="1:4" x14ac:dyDescent="0.2">
      <c r="A25" s="10">
        <v>5577447.9630000005</v>
      </c>
      <c r="B25" s="8">
        <v>472</v>
      </c>
      <c r="C25" s="10">
        <v>971011.2</v>
      </c>
      <c r="D25" s="8">
        <v>584.5</v>
      </c>
    </row>
    <row r="26" spans="1:4" x14ac:dyDescent="0.2">
      <c r="A26" s="10">
        <v>5523563.6129999999</v>
      </c>
      <c r="B26" s="8">
        <v>439.5</v>
      </c>
      <c r="C26" s="10">
        <v>1009586.7610000001</v>
      </c>
      <c r="D26" s="8">
        <v>632</v>
      </c>
    </row>
    <row r="27" spans="1:4" x14ac:dyDescent="0.2">
      <c r="A27" s="10">
        <v>5536113.8629999999</v>
      </c>
      <c r="B27" s="8">
        <v>502.5</v>
      </c>
      <c r="C27" s="10">
        <v>1011862.649</v>
      </c>
      <c r="D27" s="8">
        <v>667</v>
      </c>
    </row>
    <row r="28" spans="1:4" x14ac:dyDescent="0.2">
      <c r="A28" s="10">
        <v>5649633</v>
      </c>
      <c r="B28" s="8">
        <v>453</v>
      </c>
      <c r="C28" s="10">
        <v>1092768</v>
      </c>
      <c r="D28" s="8">
        <v>693</v>
      </c>
    </row>
    <row r="29" spans="1:4" x14ac:dyDescent="0.2">
      <c r="A29" s="10">
        <v>2445092.196</v>
      </c>
      <c r="B29" s="8">
        <v>437.5</v>
      </c>
      <c r="C29" s="10">
        <v>400216.31</v>
      </c>
      <c r="D29" s="8">
        <v>547.5</v>
      </c>
    </row>
    <row r="30" spans="1:4" x14ac:dyDescent="0.2">
      <c r="A30" s="10">
        <v>2605607.3530000001</v>
      </c>
      <c r="B30" s="8">
        <v>432</v>
      </c>
      <c r="C30" s="10">
        <v>436104.43800000002</v>
      </c>
      <c r="D30" s="8">
        <v>516</v>
      </c>
    </row>
    <row r="31" spans="1:4" x14ac:dyDescent="0.2">
      <c r="A31" s="10">
        <v>2546497.9550000001</v>
      </c>
      <c r="B31" s="8">
        <v>438.5</v>
      </c>
      <c r="C31" s="10">
        <v>424026.99400000001</v>
      </c>
      <c r="D31" s="8">
        <v>608</v>
      </c>
    </row>
    <row r="32" spans="1:4" x14ac:dyDescent="0.2">
      <c r="A32" s="11">
        <v>2614284.7969999998</v>
      </c>
      <c r="B32" s="8">
        <v>437.5</v>
      </c>
      <c r="C32" s="10">
        <v>448768.11499999999</v>
      </c>
      <c r="D32" s="8">
        <v>590</v>
      </c>
    </row>
    <row r="33" spans="1:4" x14ac:dyDescent="0.2">
      <c r="A33" s="10">
        <v>2593175.8139999998</v>
      </c>
      <c r="B33" s="8">
        <v>432</v>
      </c>
      <c r="C33" s="10">
        <v>445718.179</v>
      </c>
      <c r="D33" s="8">
        <v>650.5</v>
      </c>
    </row>
    <row r="34" spans="1:4" x14ac:dyDescent="0.2">
      <c r="A34" s="10">
        <v>2517489.551</v>
      </c>
      <c r="B34" s="8">
        <v>461.5</v>
      </c>
      <c r="C34" s="10">
        <v>436094.21500000003</v>
      </c>
      <c r="D34" s="8">
        <v>530</v>
      </c>
    </row>
    <row r="35" spans="1:4" x14ac:dyDescent="0.2">
      <c r="A35" s="10">
        <v>2617501.0520000001</v>
      </c>
      <c r="B35" s="8">
        <v>432</v>
      </c>
      <c r="C35" s="10">
        <v>481988.12</v>
      </c>
      <c r="D35" s="8">
        <v>552.5</v>
      </c>
    </row>
    <row r="36" spans="1:4" x14ac:dyDescent="0.2">
      <c r="A36" s="10">
        <v>2601757.3659999999</v>
      </c>
      <c r="B36" s="8">
        <v>432</v>
      </c>
      <c r="C36" s="10">
        <v>480256.73300000001</v>
      </c>
      <c r="D36" s="8">
        <v>518</v>
      </c>
    </row>
    <row r="37" spans="1:4" x14ac:dyDescent="0.2">
      <c r="A37" s="10">
        <v>2648828</v>
      </c>
      <c r="B37" s="8">
        <v>438.5</v>
      </c>
      <c r="C37" s="10">
        <v>495334</v>
      </c>
      <c r="D37" s="8">
        <v>576</v>
      </c>
    </row>
    <row r="38" spans="1:4" x14ac:dyDescent="0.2">
      <c r="A38" s="11">
        <v>32389754.631999999</v>
      </c>
      <c r="B38" s="8">
        <v>1311.5</v>
      </c>
      <c r="C38" s="10">
        <v>3975671.41</v>
      </c>
      <c r="D38" s="8">
        <v>5197</v>
      </c>
    </row>
    <row r="39" spans="1:4" x14ac:dyDescent="0.2">
      <c r="A39" s="10">
        <v>32379711.412</v>
      </c>
      <c r="B39" s="8">
        <v>836</v>
      </c>
      <c r="C39" s="10">
        <v>4020743.9559999998</v>
      </c>
      <c r="D39" s="8">
        <v>5229</v>
      </c>
    </row>
    <row r="40" spans="1:4" x14ac:dyDescent="0.2">
      <c r="A40" s="10">
        <v>32838531.204999998</v>
      </c>
      <c r="B40" s="8">
        <v>1018.5</v>
      </c>
      <c r="C40" s="10">
        <v>4185164.915</v>
      </c>
      <c r="D40" s="8">
        <v>5338</v>
      </c>
    </row>
    <row r="41" spans="1:4" x14ac:dyDescent="0.2">
      <c r="A41" s="10">
        <v>33037936.693999998</v>
      </c>
      <c r="B41" s="8">
        <v>900.5</v>
      </c>
      <c r="C41" s="10">
        <v>4315187.6220000004</v>
      </c>
      <c r="D41" s="8">
        <v>5119</v>
      </c>
    </row>
    <row r="42" spans="1:4" x14ac:dyDescent="0.2">
      <c r="A42" s="10">
        <v>33191090.136999998</v>
      </c>
      <c r="B42" s="8">
        <v>1021.5</v>
      </c>
      <c r="C42" s="11">
        <v>4443327.0769999996</v>
      </c>
      <c r="D42" s="8">
        <v>5694</v>
      </c>
    </row>
    <row r="43" spans="1:4" x14ac:dyDescent="0.2">
      <c r="A43" s="10">
        <v>33479940.355</v>
      </c>
      <c r="B43" s="8">
        <v>1267.5</v>
      </c>
      <c r="C43" s="10">
        <v>4621545.6919999998</v>
      </c>
      <c r="D43" s="8">
        <v>4888</v>
      </c>
    </row>
    <row r="44" spans="1:4" x14ac:dyDescent="0.2">
      <c r="A44" s="10">
        <v>33840956.848999999</v>
      </c>
      <c r="B44" s="8">
        <v>944</v>
      </c>
      <c r="C44" s="10">
        <v>4825504.8499999996</v>
      </c>
      <c r="D44" s="8">
        <v>5423</v>
      </c>
    </row>
    <row r="45" spans="1:4" x14ac:dyDescent="0.2">
      <c r="A45" s="11">
        <v>33838735.306999996</v>
      </c>
      <c r="B45" s="8">
        <v>1052.5</v>
      </c>
      <c r="C45" s="10">
        <v>5006462.1050000004</v>
      </c>
      <c r="D45" s="8">
        <v>5085</v>
      </c>
    </row>
    <row r="46" spans="1:4" x14ac:dyDescent="0.2">
      <c r="A46" s="10">
        <v>33645050</v>
      </c>
      <c r="B46" s="8">
        <v>1011</v>
      </c>
      <c r="C46" s="10">
        <v>5115069</v>
      </c>
      <c r="D46" s="8">
        <v>5510</v>
      </c>
    </row>
    <row r="47" spans="1:4" x14ac:dyDescent="0.2">
      <c r="A47" s="10">
        <v>4363960.5750000002</v>
      </c>
      <c r="B47" s="8">
        <v>457.5</v>
      </c>
      <c r="C47" s="10">
        <v>499940.05099999998</v>
      </c>
      <c r="D47" s="8">
        <v>474</v>
      </c>
    </row>
    <row r="48" spans="1:4" x14ac:dyDescent="0.2">
      <c r="A48" s="10">
        <v>4391400.3760000002</v>
      </c>
      <c r="B48" s="8">
        <v>432</v>
      </c>
      <c r="C48" s="10">
        <v>521340.21500000003</v>
      </c>
      <c r="D48" s="8">
        <v>448</v>
      </c>
    </row>
    <row r="49" spans="1:4" x14ac:dyDescent="0.2">
      <c r="A49" s="10">
        <v>4501638.1919999998</v>
      </c>
      <c r="B49" s="8">
        <v>432</v>
      </c>
      <c r="C49" s="10">
        <v>549184.28700000001</v>
      </c>
      <c r="D49" s="8">
        <v>471</v>
      </c>
    </row>
    <row r="50" spans="1:4" x14ac:dyDescent="0.2">
      <c r="A50" s="10">
        <v>4447039.4460000005</v>
      </c>
      <c r="B50" s="8">
        <v>432</v>
      </c>
      <c r="C50" s="10">
        <v>559546.71499999997</v>
      </c>
      <c r="D50" s="8">
        <v>442.5</v>
      </c>
    </row>
    <row r="51" spans="1:4" x14ac:dyDescent="0.2">
      <c r="A51" s="10">
        <v>4581162.6830000002</v>
      </c>
      <c r="B51" s="8">
        <v>445</v>
      </c>
      <c r="C51" s="10">
        <v>594864.76699999999</v>
      </c>
      <c r="D51" s="8">
        <v>451.5</v>
      </c>
    </row>
    <row r="52" spans="1:4" x14ac:dyDescent="0.2">
      <c r="A52" s="10">
        <v>4644402.0860000001</v>
      </c>
      <c r="B52" s="8">
        <v>456</v>
      </c>
      <c r="C52" s="10">
        <v>624296.29399999999</v>
      </c>
      <c r="D52" s="8">
        <v>494.5</v>
      </c>
    </row>
    <row r="53" spans="1:4" x14ac:dyDescent="0.2">
      <c r="A53" s="10">
        <v>5138309.1129999999</v>
      </c>
      <c r="B53" s="8">
        <v>432</v>
      </c>
      <c r="C53" s="10">
        <v>734487.37300000002</v>
      </c>
      <c r="D53" s="8">
        <v>516.5</v>
      </c>
    </row>
    <row r="54" spans="1:4" x14ac:dyDescent="0.2">
      <c r="A54" s="10">
        <v>4676892.1809999999</v>
      </c>
      <c r="B54" s="8">
        <v>439.5</v>
      </c>
      <c r="C54" s="10">
        <v>682748.93799999997</v>
      </c>
      <c r="D54" s="8">
        <v>400</v>
      </c>
    </row>
    <row r="55" spans="1:4" x14ac:dyDescent="0.2">
      <c r="A55" s="10">
        <v>5132875</v>
      </c>
      <c r="B55" s="8">
        <v>456</v>
      </c>
      <c r="C55" s="10">
        <v>782495</v>
      </c>
      <c r="D55" s="8">
        <v>424</v>
      </c>
    </row>
    <row r="56" spans="1:4" x14ac:dyDescent="0.2">
      <c r="A56" s="10">
        <v>3018554.7050000001</v>
      </c>
      <c r="B56" s="8">
        <v>432</v>
      </c>
      <c r="C56" s="10">
        <v>476175.16600000003</v>
      </c>
      <c r="D56" s="8">
        <v>600</v>
      </c>
    </row>
    <row r="57" spans="1:4" x14ac:dyDescent="0.2">
      <c r="A57" s="10">
        <v>3055024.8390000002</v>
      </c>
      <c r="B57" s="8">
        <v>432</v>
      </c>
      <c r="C57" s="10">
        <v>491649.24900000001</v>
      </c>
      <c r="D57" s="8">
        <v>522</v>
      </c>
    </row>
    <row r="58" spans="1:4" x14ac:dyDescent="0.2">
      <c r="A58" s="10">
        <v>3055379.196</v>
      </c>
      <c r="B58" s="8">
        <v>432</v>
      </c>
      <c r="C58" s="10">
        <v>499633.78200000001</v>
      </c>
      <c r="D58" s="8">
        <v>606</v>
      </c>
    </row>
    <row r="59" spans="1:4" x14ac:dyDescent="0.2">
      <c r="A59" s="10">
        <v>3056953.71</v>
      </c>
      <c r="B59" s="8">
        <v>432</v>
      </c>
      <c r="C59" s="10">
        <v>510276.24400000001</v>
      </c>
      <c r="D59" s="8">
        <v>502</v>
      </c>
    </row>
    <row r="60" spans="1:4" x14ac:dyDescent="0.2">
      <c r="A60" s="10">
        <v>3060943.5240000002</v>
      </c>
      <c r="B60" s="8">
        <v>432</v>
      </c>
      <c r="C60" s="10">
        <v>519807.239</v>
      </c>
      <c r="D60" s="8">
        <v>543.5</v>
      </c>
    </row>
    <row r="61" spans="1:4" x14ac:dyDescent="0.2">
      <c r="A61" s="11">
        <v>3064320.074</v>
      </c>
      <c r="B61" s="8">
        <v>432</v>
      </c>
      <c r="C61" s="10">
        <v>531465.28399999999</v>
      </c>
      <c r="D61" s="8">
        <v>560</v>
      </c>
    </row>
    <row r="62" spans="1:4" x14ac:dyDescent="0.2">
      <c r="A62" s="10">
        <v>3052999.2420000001</v>
      </c>
      <c r="B62" s="8">
        <v>432</v>
      </c>
      <c r="C62" s="10">
        <v>542415.62</v>
      </c>
      <c r="D62" s="8">
        <v>611</v>
      </c>
    </row>
    <row r="63" spans="1:4" x14ac:dyDescent="0.2">
      <c r="A63" s="10">
        <v>3037097.79</v>
      </c>
      <c r="B63" s="8">
        <v>432</v>
      </c>
      <c r="C63" s="10">
        <v>553638.56299999997</v>
      </c>
      <c r="D63" s="8">
        <v>475.5</v>
      </c>
    </row>
    <row r="64" spans="1:4" x14ac:dyDescent="0.2">
      <c r="A64" s="10">
        <v>3018721</v>
      </c>
      <c r="B64" s="8">
        <v>437.5</v>
      </c>
      <c r="C64" s="10">
        <v>575757</v>
      </c>
      <c r="D64" s="8">
        <v>585.5</v>
      </c>
    </row>
    <row r="65" spans="1:4" x14ac:dyDescent="0.2">
      <c r="A65" s="11">
        <v>745245.96199999901</v>
      </c>
      <c r="B65" s="8">
        <v>432</v>
      </c>
      <c r="C65" s="10">
        <v>119147.20600000001</v>
      </c>
      <c r="D65" s="8">
        <v>162</v>
      </c>
    </row>
    <row r="66" spans="1:4" x14ac:dyDescent="0.2">
      <c r="A66" s="10">
        <v>758912.554</v>
      </c>
      <c r="B66" s="8">
        <v>432</v>
      </c>
      <c r="C66" s="10">
        <v>122781.06600000001</v>
      </c>
      <c r="D66" s="8">
        <v>167.5</v>
      </c>
    </row>
    <row r="67" spans="1:4" x14ac:dyDescent="0.2">
      <c r="A67" s="10">
        <v>763429.57799999998</v>
      </c>
      <c r="B67" s="8">
        <v>432</v>
      </c>
      <c r="C67" s="10">
        <v>126582.414</v>
      </c>
      <c r="D67" s="8">
        <v>162</v>
      </c>
    </row>
    <row r="68" spans="1:4" x14ac:dyDescent="0.2">
      <c r="A68" s="10">
        <v>768807.01</v>
      </c>
      <c r="B68" s="8">
        <v>432</v>
      </c>
      <c r="C68" s="11">
        <v>130733.014999999</v>
      </c>
      <c r="D68" s="8">
        <v>174</v>
      </c>
    </row>
    <row r="69" spans="1:4" x14ac:dyDescent="0.2">
      <c r="A69" s="10">
        <v>773012.60800000001</v>
      </c>
      <c r="B69" s="8">
        <v>432</v>
      </c>
      <c r="C69" s="10">
        <v>135397.79</v>
      </c>
      <c r="D69" s="8">
        <v>167.5</v>
      </c>
    </row>
    <row r="70" spans="1:4" x14ac:dyDescent="0.2">
      <c r="A70" s="10">
        <v>776040.39500000002</v>
      </c>
      <c r="B70" s="8">
        <v>432</v>
      </c>
      <c r="C70" s="10">
        <v>141084.97</v>
      </c>
      <c r="D70" s="8">
        <v>179.5</v>
      </c>
    </row>
    <row r="71" spans="1:4" x14ac:dyDescent="0.2">
      <c r="A71" s="10">
        <v>778731.78099999996</v>
      </c>
      <c r="B71" s="8">
        <v>432</v>
      </c>
      <c r="C71" s="11">
        <v>147549.38699999999</v>
      </c>
      <c r="D71" s="8">
        <v>196</v>
      </c>
    </row>
    <row r="72" spans="1:4" x14ac:dyDescent="0.2">
      <c r="A72" s="11">
        <v>781548.20699999901</v>
      </c>
      <c r="B72" s="8">
        <v>432</v>
      </c>
      <c r="C72" s="11">
        <v>153659.03999999899</v>
      </c>
      <c r="D72" s="8">
        <v>162</v>
      </c>
    </row>
    <row r="73" spans="1:4" x14ac:dyDescent="0.2">
      <c r="A73" s="10">
        <v>783167</v>
      </c>
      <c r="B73" s="8">
        <v>432</v>
      </c>
      <c r="C73" s="10">
        <v>160565</v>
      </c>
      <c r="D73" s="8">
        <v>167.5</v>
      </c>
    </row>
    <row r="74" spans="1:4" x14ac:dyDescent="0.2">
      <c r="A74" s="10">
        <v>519586.33899999998</v>
      </c>
      <c r="B74" s="8">
        <v>432</v>
      </c>
      <c r="C74" s="10">
        <v>70023.527000000002</v>
      </c>
      <c r="D74" s="8">
        <v>162</v>
      </c>
    </row>
    <row r="75" spans="1:4" x14ac:dyDescent="0.2">
      <c r="A75" s="11">
        <v>518362.8</v>
      </c>
      <c r="B75" s="8">
        <v>432</v>
      </c>
      <c r="C75" s="10">
        <v>67206</v>
      </c>
      <c r="D75" s="8">
        <v>162</v>
      </c>
    </row>
    <row r="76" spans="1:4" x14ac:dyDescent="0.2">
      <c r="A76" s="10">
        <v>535490.95600000001</v>
      </c>
      <c r="B76" s="8">
        <v>432</v>
      </c>
      <c r="C76" s="10">
        <v>69662.285000000003</v>
      </c>
      <c r="D76" s="8">
        <v>162</v>
      </c>
    </row>
    <row r="77" spans="1:4" x14ac:dyDescent="0.2">
      <c r="A77" s="10">
        <v>547523.96400000004</v>
      </c>
      <c r="B77" s="8">
        <v>432</v>
      </c>
      <c r="C77" s="10">
        <v>69988.922999999995</v>
      </c>
      <c r="D77" s="8">
        <v>162</v>
      </c>
    </row>
    <row r="78" spans="1:4" x14ac:dyDescent="0.2">
      <c r="A78" s="11">
        <v>562123.83199999901</v>
      </c>
      <c r="B78" s="8">
        <v>432</v>
      </c>
      <c r="C78" s="10">
        <v>71612.168000000005</v>
      </c>
      <c r="D78" s="8">
        <v>162</v>
      </c>
    </row>
    <row r="79" spans="1:4" x14ac:dyDescent="0.2">
      <c r="A79" s="11">
        <v>573670.82399999897</v>
      </c>
      <c r="B79" s="8">
        <v>432</v>
      </c>
      <c r="C79" s="11">
        <v>73813.175999999905</v>
      </c>
      <c r="D79" s="8">
        <v>162</v>
      </c>
    </row>
    <row r="80" spans="1:4" x14ac:dyDescent="0.2">
      <c r="A80" s="11">
        <v>585199.99199999997</v>
      </c>
      <c r="B80" s="8">
        <v>432</v>
      </c>
      <c r="C80" s="10">
        <v>75127.025999999998</v>
      </c>
      <c r="D80" s="8">
        <v>162</v>
      </c>
    </row>
    <row r="81" spans="1:4" x14ac:dyDescent="0.2">
      <c r="A81" s="10">
        <v>592622</v>
      </c>
      <c r="B81" s="8">
        <v>432</v>
      </c>
      <c r="C81" s="10">
        <v>79769</v>
      </c>
      <c r="D81" s="8">
        <v>162</v>
      </c>
    </row>
    <row r="82" spans="1:4" x14ac:dyDescent="0.2">
      <c r="A82" s="10">
        <v>15154751.511</v>
      </c>
      <c r="B82" s="8">
        <v>717</v>
      </c>
      <c r="C82" s="10">
        <v>3071464.932</v>
      </c>
      <c r="D82" s="8">
        <v>1861</v>
      </c>
    </row>
    <row r="83" spans="1:4" x14ac:dyDescent="0.2">
      <c r="A83" s="10">
        <v>15403595.583000001</v>
      </c>
      <c r="B83" s="8">
        <v>573.5</v>
      </c>
      <c r="C83" s="10">
        <v>3140405.9569999999</v>
      </c>
      <c r="D83" s="8">
        <v>1904</v>
      </c>
    </row>
    <row r="84" spans="1:4" x14ac:dyDescent="0.2">
      <c r="A84" s="10">
        <v>15437045.491</v>
      </c>
      <c r="B84" s="8">
        <v>628</v>
      </c>
      <c r="C84" s="10">
        <v>3201117.8829999999</v>
      </c>
      <c r="D84" s="8">
        <v>2034</v>
      </c>
    </row>
    <row r="85" spans="1:4" x14ac:dyDescent="0.2">
      <c r="A85" s="10">
        <v>15425290.767999999</v>
      </c>
      <c r="B85" s="8">
        <v>584.5</v>
      </c>
      <c r="C85" s="10">
        <v>3272923.1379999998</v>
      </c>
      <c r="D85" s="8">
        <v>1985</v>
      </c>
    </row>
    <row r="86" spans="1:4" x14ac:dyDescent="0.2">
      <c r="A86" s="10">
        <v>15493358.503</v>
      </c>
      <c r="B86" s="8">
        <v>743.5</v>
      </c>
      <c r="C86" s="10">
        <v>3332891</v>
      </c>
      <c r="D86" s="8">
        <v>2136</v>
      </c>
    </row>
    <row r="87" spans="1:4" x14ac:dyDescent="0.2">
      <c r="A87" s="10">
        <v>15730869.226</v>
      </c>
      <c r="B87" s="8">
        <v>784</v>
      </c>
      <c r="C87" s="10">
        <v>3472161.736</v>
      </c>
      <c r="D87" s="8">
        <v>2143</v>
      </c>
    </row>
    <row r="88" spans="1:4" x14ac:dyDescent="0.2">
      <c r="A88" s="10">
        <v>15746350.166999999</v>
      </c>
      <c r="B88" s="8">
        <v>635.5</v>
      </c>
      <c r="C88" s="10">
        <v>3614377.5619999999</v>
      </c>
      <c r="D88" s="8">
        <v>2271</v>
      </c>
    </row>
    <row r="89" spans="1:4" x14ac:dyDescent="0.2">
      <c r="A89" s="10">
        <v>16214600.321</v>
      </c>
      <c r="B89" s="8">
        <v>749.5</v>
      </c>
      <c r="C89" s="10">
        <v>3815660.7880000002</v>
      </c>
      <c r="D89" s="8">
        <v>2260</v>
      </c>
    </row>
    <row r="90" spans="1:4" x14ac:dyDescent="0.2">
      <c r="A90" s="10">
        <v>16486446</v>
      </c>
      <c r="B90" s="8">
        <v>711</v>
      </c>
      <c r="C90" s="10">
        <v>3952286</v>
      </c>
      <c r="D90" s="8">
        <v>2554</v>
      </c>
    </row>
    <row r="91" spans="1:4" x14ac:dyDescent="0.2">
      <c r="A91" s="10">
        <v>8732051.4690000005</v>
      </c>
      <c r="B91" s="8">
        <v>530.5</v>
      </c>
      <c r="C91" s="10">
        <v>978932.924</v>
      </c>
      <c r="D91" s="8">
        <v>1165.5</v>
      </c>
    </row>
    <row r="92" spans="1:4" x14ac:dyDescent="0.2">
      <c r="A92" s="10">
        <v>8606857.7809999995</v>
      </c>
      <c r="B92" s="8">
        <v>504.5</v>
      </c>
      <c r="C92" s="10">
        <v>991429.71200000006</v>
      </c>
      <c r="D92" s="8">
        <v>1172</v>
      </c>
    </row>
    <row r="93" spans="1:4" x14ac:dyDescent="0.2">
      <c r="A93" s="10">
        <v>8615291.6439999994</v>
      </c>
      <c r="B93" s="8">
        <v>529</v>
      </c>
      <c r="C93" s="10">
        <v>1013114.6459999999</v>
      </c>
      <c r="D93" s="8">
        <v>1173</v>
      </c>
    </row>
    <row r="94" spans="1:4" x14ac:dyDescent="0.2">
      <c r="A94" s="10">
        <v>8874150.352</v>
      </c>
      <c r="B94" s="8">
        <v>518</v>
      </c>
      <c r="C94" s="10">
        <v>1086332.8999999999</v>
      </c>
      <c r="D94" s="8">
        <v>1117</v>
      </c>
    </row>
    <row r="95" spans="1:4" x14ac:dyDescent="0.2">
      <c r="A95" s="10">
        <v>8891569.8039999995</v>
      </c>
      <c r="B95" s="8">
        <v>559</v>
      </c>
      <c r="C95" s="10">
        <v>1130962.6170000001</v>
      </c>
      <c r="D95" s="8">
        <v>1155.5</v>
      </c>
    </row>
    <row r="96" spans="1:4" x14ac:dyDescent="0.2">
      <c r="A96" s="10">
        <v>8689558.1789999995</v>
      </c>
      <c r="B96" s="8">
        <v>617</v>
      </c>
      <c r="C96" s="10">
        <v>1124322.544</v>
      </c>
      <c r="D96" s="8">
        <v>1133</v>
      </c>
    </row>
    <row r="97" spans="1:4" x14ac:dyDescent="0.2">
      <c r="A97" s="10">
        <v>9061615.2259999998</v>
      </c>
      <c r="B97" s="8">
        <v>551</v>
      </c>
      <c r="C97" s="10">
        <v>1246852.7209999999</v>
      </c>
      <c r="D97" s="8">
        <v>1159</v>
      </c>
    </row>
    <row r="98" spans="1:4" x14ac:dyDescent="0.2">
      <c r="A98" s="10">
        <v>8834976.1610000003</v>
      </c>
      <c r="B98" s="8">
        <v>584.5</v>
      </c>
      <c r="C98" s="10">
        <v>1245018.138</v>
      </c>
      <c r="D98" s="8">
        <v>1068</v>
      </c>
    </row>
    <row r="99" spans="1:4" x14ac:dyDescent="0.2">
      <c r="A99" s="10">
        <v>9013003</v>
      </c>
      <c r="B99" s="8">
        <v>547</v>
      </c>
      <c r="C99" s="10">
        <v>1333349</v>
      </c>
      <c r="D99" s="8">
        <v>1117</v>
      </c>
    </row>
    <row r="100" spans="1:4" x14ac:dyDescent="0.2">
      <c r="A100" s="10">
        <v>1101746.827</v>
      </c>
      <c r="B100" s="8">
        <v>432</v>
      </c>
      <c r="C100" s="10">
        <v>180646.57</v>
      </c>
      <c r="D100" s="8">
        <v>231</v>
      </c>
    </row>
    <row r="101" spans="1:4" x14ac:dyDescent="0.2">
      <c r="A101" s="10">
        <v>1147748.098</v>
      </c>
      <c r="B101" s="8">
        <v>432</v>
      </c>
      <c r="C101" s="10">
        <v>185908.43599999999</v>
      </c>
      <c r="D101" s="8">
        <v>258</v>
      </c>
    </row>
    <row r="102" spans="1:4" x14ac:dyDescent="0.2">
      <c r="A102" s="11">
        <v>1156737.68899999</v>
      </c>
      <c r="B102" s="8">
        <v>864</v>
      </c>
      <c r="C102" s="10">
        <v>191821.69</v>
      </c>
      <c r="D102" s="8">
        <v>463</v>
      </c>
    </row>
    <row r="103" spans="1:4" x14ac:dyDescent="0.2">
      <c r="A103" s="10">
        <v>1164954.3370000001</v>
      </c>
      <c r="B103" s="8">
        <v>432</v>
      </c>
      <c r="C103" s="10">
        <v>197109.54500000001</v>
      </c>
      <c r="D103" s="8">
        <v>364.5</v>
      </c>
    </row>
    <row r="104" spans="1:4" x14ac:dyDescent="0.2">
      <c r="A104" s="10">
        <v>1169849.7549999999</v>
      </c>
      <c r="B104" s="8">
        <v>432</v>
      </c>
      <c r="C104" s="11">
        <v>202208.253</v>
      </c>
      <c r="D104" s="8">
        <v>400</v>
      </c>
    </row>
    <row r="105" spans="1:4" x14ac:dyDescent="0.2">
      <c r="A105" s="10">
        <v>1178545.9850000001</v>
      </c>
      <c r="B105" s="8">
        <v>432</v>
      </c>
      <c r="C105" s="10">
        <v>212874.065</v>
      </c>
      <c r="D105" s="8">
        <v>371.5</v>
      </c>
    </row>
    <row r="106" spans="1:4" x14ac:dyDescent="0.2">
      <c r="A106" s="10">
        <v>1185327.6229999999</v>
      </c>
      <c r="B106" s="8">
        <v>432</v>
      </c>
      <c r="C106" s="10">
        <v>219910.652</v>
      </c>
      <c r="D106" s="8">
        <v>481.5</v>
      </c>
    </row>
    <row r="107" spans="1:4" x14ac:dyDescent="0.2">
      <c r="A107" s="10">
        <v>1185619.6740000001</v>
      </c>
      <c r="B107" s="8">
        <v>432</v>
      </c>
      <c r="C107" s="10">
        <v>228155.08799999999</v>
      </c>
      <c r="D107" s="8">
        <v>438</v>
      </c>
    </row>
    <row r="108" spans="1:4" x14ac:dyDescent="0.2">
      <c r="A108" s="10">
        <v>1183588</v>
      </c>
      <c r="B108" s="8">
        <v>432</v>
      </c>
      <c r="C108" s="10">
        <v>238144</v>
      </c>
      <c r="D108" s="8">
        <v>539</v>
      </c>
    </row>
    <row r="109" spans="1:4" x14ac:dyDescent="0.2">
      <c r="A109" s="10">
        <v>1321942.4509999999</v>
      </c>
      <c r="B109" s="8">
        <v>432</v>
      </c>
      <c r="C109" s="10">
        <v>176540.34400000001</v>
      </c>
      <c r="D109" s="8">
        <v>167.5</v>
      </c>
    </row>
    <row r="110" spans="1:4" x14ac:dyDescent="0.2">
      <c r="A110" s="10">
        <v>1351372.2660000001</v>
      </c>
      <c r="B110" s="8">
        <v>432</v>
      </c>
      <c r="C110" s="10">
        <v>183158.27100000001</v>
      </c>
      <c r="D110" s="8">
        <v>213</v>
      </c>
    </row>
    <row r="111" spans="1:4" x14ac:dyDescent="0.2">
      <c r="A111" s="10">
        <v>1388942.5220000001</v>
      </c>
      <c r="B111" s="8">
        <v>432</v>
      </c>
      <c r="C111" s="10">
        <v>198061.46900000001</v>
      </c>
      <c r="D111" s="8">
        <v>205</v>
      </c>
    </row>
    <row r="112" spans="1:4" x14ac:dyDescent="0.2">
      <c r="A112" s="10">
        <v>1374057.9979999999</v>
      </c>
      <c r="B112" s="8">
        <v>432</v>
      </c>
      <c r="C112" s="10">
        <v>197875.386</v>
      </c>
      <c r="D112" s="8">
        <v>194.5</v>
      </c>
    </row>
    <row r="113" spans="1:4" x14ac:dyDescent="0.2">
      <c r="A113" s="10">
        <v>1482130.4450000001</v>
      </c>
      <c r="B113" s="8">
        <v>432</v>
      </c>
      <c r="C113" s="10">
        <v>222677.00099999999</v>
      </c>
      <c r="D113" s="8">
        <v>232</v>
      </c>
    </row>
    <row r="114" spans="1:4" x14ac:dyDescent="0.2">
      <c r="A114" s="10">
        <v>1426697.2790000001</v>
      </c>
      <c r="B114" s="8">
        <v>432</v>
      </c>
      <c r="C114" s="10">
        <v>223233.91500000001</v>
      </c>
      <c r="D114" s="8">
        <v>195.5</v>
      </c>
    </row>
    <row r="115" spans="1:4" x14ac:dyDescent="0.2">
      <c r="A115" s="11">
        <v>1469298.25299999</v>
      </c>
      <c r="B115" s="8">
        <v>432</v>
      </c>
      <c r="C115" s="10">
        <v>235431.74600000001</v>
      </c>
      <c r="D115" s="8">
        <v>217</v>
      </c>
    </row>
    <row r="116" spans="1:4" x14ac:dyDescent="0.2">
      <c r="A116" s="10">
        <v>1331874.6100000001</v>
      </c>
      <c r="B116" s="8">
        <v>432</v>
      </c>
      <c r="C116" s="10">
        <v>221719.76500000001</v>
      </c>
      <c r="D116" s="8">
        <v>190.5</v>
      </c>
    </row>
    <row r="117" spans="1:4" x14ac:dyDescent="0.2">
      <c r="A117" s="10">
        <v>1341857</v>
      </c>
      <c r="B117" s="8">
        <v>432</v>
      </c>
      <c r="C117" s="10">
        <v>234462</v>
      </c>
      <c r="D117" s="8">
        <v>235.5</v>
      </c>
    </row>
    <row r="118" spans="1:4" x14ac:dyDescent="0.2">
      <c r="A118" s="10">
        <v>11323887.040999999</v>
      </c>
      <c r="B118" s="8">
        <v>608.5</v>
      </c>
      <c r="C118" s="10">
        <v>1567731.6029999999</v>
      </c>
      <c r="D118" s="8">
        <v>2006</v>
      </c>
    </row>
    <row r="119" spans="1:4" x14ac:dyDescent="0.2">
      <c r="A119" s="10">
        <v>11310436.771</v>
      </c>
      <c r="B119" s="8">
        <v>541.5</v>
      </c>
      <c r="C119" s="10">
        <v>1588855.11</v>
      </c>
      <c r="D119" s="8">
        <v>1912</v>
      </c>
    </row>
    <row r="120" spans="1:4" x14ac:dyDescent="0.2">
      <c r="A120" s="10">
        <v>11150233.557</v>
      </c>
      <c r="B120" s="8">
        <v>602</v>
      </c>
      <c r="C120" s="10">
        <v>1583939.85</v>
      </c>
      <c r="D120" s="8">
        <v>2049</v>
      </c>
    </row>
    <row r="121" spans="1:4" x14ac:dyDescent="0.2">
      <c r="A121" s="10">
        <v>11229183.033</v>
      </c>
      <c r="B121" s="8">
        <v>582.5</v>
      </c>
      <c r="C121" s="10">
        <v>1631519.209</v>
      </c>
      <c r="D121" s="8">
        <v>1983</v>
      </c>
    </row>
    <row r="122" spans="1:4" x14ac:dyDescent="0.2">
      <c r="A122" s="10">
        <v>11145839.058</v>
      </c>
      <c r="B122" s="8">
        <v>563</v>
      </c>
      <c r="C122" s="10">
        <v>1638812.4439999999</v>
      </c>
      <c r="D122" s="8">
        <v>2122</v>
      </c>
    </row>
    <row r="123" spans="1:4" x14ac:dyDescent="0.2">
      <c r="A123" s="10">
        <v>11136105.044</v>
      </c>
      <c r="B123" s="8">
        <v>602.5</v>
      </c>
      <c r="C123" s="11">
        <v>1669800.53999999</v>
      </c>
      <c r="D123" s="8">
        <v>2125</v>
      </c>
    </row>
    <row r="124" spans="1:4" x14ac:dyDescent="0.2">
      <c r="A124" s="10">
        <v>11442363.369999999</v>
      </c>
      <c r="B124" s="8">
        <v>587.5</v>
      </c>
      <c r="C124" s="10">
        <v>1775015.963</v>
      </c>
      <c r="D124" s="8">
        <v>1997</v>
      </c>
    </row>
    <row r="125" spans="1:4" x14ac:dyDescent="0.2">
      <c r="A125" s="10">
        <v>11069105.147</v>
      </c>
      <c r="B125" s="8">
        <v>615.5</v>
      </c>
      <c r="C125" s="10">
        <v>1786351.747</v>
      </c>
      <c r="D125" s="8">
        <v>1799</v>
      </c>
    </row>
    <row r="126" spans="1:4" x14ac:dyDescent="0.2">
      <c r="A126" s="10">
        <v>11159510</v>
      </c>
      <c r="B126" s="8">
        <v>598.5</v>
      </c>
      <c r="C126" s="10">
        <v>1871479</v>
      </c>
      <c r="D126" s="8">
        <v>2026</v>
      </c>
    </row>
    <row r="127" spans="1:4" x14ac:dyDescent="0.2">
      <c r="A127" s="10">
        <v>5591421.3760000002</v>
      </c>
      <c r="B127" s="8">
        <v>459</v>
      </c>
      <c r="C127" s="10">
        <v>807239.11499999999</v>
      </c>
      <c r="D127" s="8">
        <v>949</v>
      </c>
    </row>
    <row r="128" spans="1:4" x14ac:dyDescent="0.2">
      <c r="A128" s="10">
        <v>5657503.4060000004</v>
      </c>
      <c r="B128" s="8">
        <v>462.5</v>
      </c>
      <c r="C128" s="10">
        <v>825319.79399999999</v>
      </c>
      <c r="D128" s="8">
        <v>973.5</v>
      </c>
    </row>
    <row r="129" spans="1:4" x14ac:dyDescent="0.2">
      <c r="A129" s="10">
        <v>5458678.6370000001</v>
      </c>
      <c r="B129" s="8">
        <v>439.5</v>
      </c>
      <c r="C129" s="10">
        <v>801278.52500000002</v>
      </c>
      <c r="D129" s="8">
        <v>812</v>
      </c>
    </row>
    <row r="130" spans="1:4" x14ac:dyDescent="0.2">
      <c r="A130" s="10">
        <v>5664927.3449999997</v>
      </c>
      <c r="B130" s="8">
        <v>432</v>
      </c>
      <c r="C130" s="10">
        <v>857917.85400000005</v>
      </c>
      <c r="D130" s="8">
        <v>791.5</v>
      </c>
    </row>
    <row r="131" spans="1:4" x14ac:dyDescent="0.2">
      <c r="A131" s="10">
        <v>5698921.2680000002</v>
      </c>
      <c r="B131" s="8">
        <v>469</v>
      </c>
      <c r="C131" s="11">
        <v>869832.59699999995</v>
      </c>
      <c r="D131" s="8">
        <v>914.5</v>
      </c>
    </row>
    <row r="132" spans="1:4" x14ac:dyDescent="0.2">
      <c r="A132" s="10">
        <v>5505108.7290000003</v>
      </c>
      <c r="B132" s="8">
        <v>486.5</v>
      </c>
      <c r="C132" s="10">
        <v>866928.72600000002</v>
      </c>
      <c r="D132" s="8">
        <v>832</v>
      </c>
    </row>
    <row r="133" spans="1:4" x14ac:dyDescent="0.2">
      <c r="A133" s="10">
        <v>5628629.6090000002</v>
      </c>
      <c r="B133" s="8">
        <v>440.5</v>
      </c>
      <c r="C133" s="10">
        <v>911629.66500000004</v>
      </c>
      <c r="D133" s="8">
        <v>881.5</v>
      </c>
    </row>
    <row r="134" spans="1:4" x14ac:dyDescent="0.2">
      <c r="A134" s="10">
        <v>5728357.8609999996</v>
      </c>
      <c r="B134" s="8">
        <v>472.5</v>
      </c>
      <c r="C134" s="10">
        <v>957088.32200000004</v>
      </c>
      <c r="D134" s="8">
        <v>762.5</v>
      </c>
    </row>
    <row r="135" spans="1:4" x14ac:dyDescent="0.2">
      <c r="A135" s="10">
        <v>5762349</v>
      </c>
      <c r="B135" s="8">
        <v>466.5</v>
      </c>
      <c r="C135" s="10">
        <v>999469</v>
      </c>
      <c r="D135" s="8">
        <v>895.5</v>
      </c>
    </row>
    <row r="136" spans="1:4" x14ac:dyDescent="0.2">
      <c r="A136" s="10">
        <v>2535144.2409999999</v>
      </c>
      <c r="B136" s="8">
        <v>445</v>
      </c>
      <c r="C136" s="10">
        <v>436989.89299999998</v>
      </c>
      <c r="D136" s="8">
        <v>564.5</v>
      </c>
    </row>
    <row r="137" spans="1:4" x14ac:dyDescent="0.2">
      <c r="A137" s="10">
        <v>2553166.0150000001</v>
      </c>
      <c r="B137" s="8">
        <v>432</v>
      </c>
      <c r="C137" s="10">
        <v>442693.54300000001</v>
      </c>
      <c r="D137" s="8">
        <v>506</v>
      </c>
    </row>
    <row r="138" spans="1:4" x14ac:dyDescent="0.2">
      <c r="A138" s="10">
        <v>2541335.9500000002</v>
      </c>
      <c r="B138" s="8">
        <v>432</v>
      </c>
      <c r="C138" s="10">
        <v>438643.245</v>
      </c>
      <c r="D138" s="8">
        <v>569</v>
      </c>
    </row>
    <row r="139" spans="1:4" x14ac:dyDescent="0.2">
      <c r="A139" s="10">
        <v>2694266.0920000002</v>
      </c>
      <c r="B139" s="8">
        <v>432</v>
      </c>
      <c r="C139" s="10">
        <v>468955.49900000001</v>
      </c>
      <c r="D139" s="8">
        <v>589.5</v>
      </c>
    </row>
    <row r="140" spans="1:4" x14ac:dyDescent="0.2">
      <c r="A140" s="10">
        <v>2562945.2779999999</v>
      </c>
      <c r="B140" s="8">
        <v>432</v>
      </c>
      <c r="C140" s="10">
        <v>448141.68599999999</v>
      </c>
      <c r="D140" s="8">
        <v>679.5</v>
      </c>
    </row>
    <row r="141" spans="1:4" x14ac:dyDescent="0.2">
      <c r="A141" s="10">
        <v>2545404.7889999999</v>
      </c>
      <c r="B141" s="8">
        <v>432</v>
      </c>
      <c r="C141" s="10">
        <v>451051.946</v>
      </c>
      <c r="D141" s="8">
        <v>501</v>
      </c>
    </row>
    <row r="142" spans="1:4" x14ac:dyDescent="0.2">
      <c r="A142" s="10">
        <v>2795195.3089999999</v>
      </c>
      <c r="B142" s="8">
        <v>438.5</v>
      </c>
      <c r="C142" s="10">
        <v>514464.50199999998</v>
      </c>
      <c r="D142" s="8">
        <v>532</v>
      </c>
    </row>
    <row r="143" spans="1:4" x14ac:dyDescent="0.2">
      <c r="A143" s="10">
        <v>2642515.4019999998</v>
      </c>
      <c r="B143" s="8">
        <v>432</v>
      </c>
      <c r="C143" s="10">
        <v>486383.49599999998</v>
      </c>
      <c r="D143" s="8">
        <v>443</v>
      </c>
    </row>
    <row r="144" spans="1:4" x14ac:dyDescent="0.2">
      <c r="A144" s="10">
        <v>2563894</v>
      </c>
      <c r="B144" s="8">
        <v>432</v>
      </c>
      <c r="C144" s="10">
        <v>485962</v>
      </c>
      <c r="D144" s="8">
        <v>489.5</v>
      </c>
    </row>
    <row r="145" spans="1:4" x14ac:dyDescent="0.2">
      <c r="A145" s="10">
        <v>2429989.94</v>
      </c>
      <c r="B145" s="8">
        <v>432</v>
      </c>
      <c r="C145" s="10">
        <v>363176.19699999999</v>
      </c>
      <c r="D145" s="8">
        <v>512</v>
      </c>
    </row>
    <row r="146" spans="1:4" x14ac:dyDescent="0.2">
      <c r="A146" s="10">
        <v>2383014.7179999999</v>
      </c>
      <c r="B146" s="8">
        <v>432</v>
      </c>
      <c r="C146" s="10">
        <v>357937.53899999999</v>
      </c>
      <c r="D146" s="8">
        <v>478.5</v>
      </c>
    </row>
    <row r="147" spans="1:4" x14ac:dyDescent="0.2">
      <c r="A147" s="11">
        <v>2546491.4119999902</v>
      </c>
      <c r="B147" s="8">
        <v>432</v>
      </c>
      <c r="C147" s="10">
        <v>384189.76</v>
      </c>
      <c r="D147" s="8">
        <v>553</v>
      </c>
    </row>
    <row r="148" spans="1:4" x14ac:dyDescent="0.2">
      <c r="A148" s="10">
        <v>2536657.949</v>
      </c>
      <c r="B148" s="8">
        <v>432</v>
      </c>
      <c r="C148" s="10">
        <v>390033.18599999999</v>
      </c>
      <c r="D148" s="8">
        <v>555</v>
      </c>
    </row>
    <row r="149" spans="1:4" x14ac:dyDescent="0.2">
      <c r="A149" s="10">
        <v>2481355.14</v>
      </c>
      <c r="B149" s="8">
        <v>438.5</v>
      </c>
      <c r="C149" s="10">
        <v>391314.73800000001</v>
      </c>
      <c r="D149" s="8">
        <v>600</v>
      </c>
    </row>
    <row r="150" spans="1:4" x14ac:dyDescent="0.2">
      <c r="A150" s="10">
        <v>2504174.915</v>
      </c>
      <c r="B150" s="8">
        <v>439.5</v>
      </c>
      <c r="C150" s="10">
        <v>401675.24200000003</v>
      </c>
      <c r="D150" s="8">
        <v>511.5</v>
      </c>
    </row>
    <row r="151" spans="1:4" x14ac:dyDescent="0.2">
      <c r="A151" s="10">
        <v>2564354.807</v>
      </c>
      <c r="B151" s="8">
        <v>432</v>
      </c>
      <c r="C151" s="10">
        <v>421099.266</v>
      </c>
      <c r="D151" s="8">
        <v>569</v>
      </c>
    </row>
    <row r="152" spans="1:4" x14ac:dyDescent="0.2">
      <c r="A152" s="10">
        <v>2503523.534</v>
      </c>
      <c r="B152" s="8">
        <v>432</v>
      </c>
      <c r="C152" s="10">
        <v>417967.141</v>
      </c>
      <c r="D152" s="8">
        <v>451.5</v>
      </c>
    </row>
    <row r="153" spans="1:4" x14ac:dyDescent="0.2">
      <c r="A153" s="10">
        <v>2520611</v>
      </c>
      <c r="B153" s="8">
        <v>432</v>
      </c>
      <c r="C153" s="10">
        <v>441260</v>
      </c>
      <c r="D153" s="8">
        <v>476</v>
      </c>
    </row>
    <row r="154" spans="1:4" x14ac:dyDescent="0.2">
      <c r="A154" s="10">
        <v>3758508.7450000001</v>
      </c>
      <c r="B154" s="8">
        <v>452.5</v>
      </c>
      <c r="C154" s="11">
        <v>559355.304999999</v>
      </c>
      <c r="D154" s="8">
        <v>803</v>
      </c>
    </row>
    <row r="155" spans="1:4" x14ac:dyDescent="0.2">
      <c r="A155" s="10">
        <v>3630692.1770000001</v>
      </c>
      <c r="B155" s="8">
        <v>438.5</v>
      </c>
      <c r="C155" s="10">
        <v>547779.82999999996</v>
      </c>
      <c r="D155" s="8">
        <v>770</v>
      </c>
    </row>
    <row r="156" spans="1:4" x14ac:dyDescent="0.2">
      <c r="A156" s="10">
        <v>3722742.304</v>
      </c>
      <c r="B156" s="8">
        <v>466.5</v>
      </c>
      <c r="C156" s="10">
        <v>573694.60699999996</v>
      </c>
      <c r="D156" s="8">
        <v>761</v>
      </c>
    </row>
    <row r="157" spans="1:4" x14ac:dyDescent="0.2">
      <c r="A157" s="10">
        <v>3762930.8050000002</v>
      </c>
      <c r="B157" s="8">
        <v>446</v>
      </c>
      <c r="C157" s="10">
        <v>590100.23499999999</v>
      </c>
      <c r="D157" s="8">
        <v>713.5</v>
      </c>
    </row>
    <row r="158" spans="1:4" x14ac:dyDescent="0.2">
      <c r="A158" s="10">
        <v>3780364.1320000002</v>
      </c>
      <c r="B158" s="8">
        <v>444</v>
      </c>
      <c r="C158" s="10">
        <v>605149.05799999996</v>
      </c>
      <c r="D158" s="8">
        <v>749.5</v>
      </c>
    </row>
    <row r="159" spans="1:4" x14ac:dyDescent="0.2">
      <c r="A159" s="10">
        <v>3770533.67</v>
      </c>
      <c r="B159" s="8">
        <v>484.5</v>
      </c>
      <c r="C159" s="10">
        <v>621030.34199999995</v>
      </c>
      <c r="D159" s="8">
        <v>794</v>
      </c>
    </row>
    <row r="160" spans="1:4" x14ac:dyDescent="0.2">
      <c r="A160" s="10">
        <v>4076032.6340000001</v>
      </c>
      <c r="B160" s="8">
        <v>465.5</v>
      </c>
      <c r="C160" s="10">
        <v>701286.99300000002</v>
      </c>
      <c r="D160" s="8">
        <v>792.5</v>
      </c>
    </row>
    <row r="161" spans="1:4" x14ac:dyDescent="0.2">
      <c r="A161" s="10">
        <v>3885056.3259999999</v>
      </c>
      <c r="B161" s="8">
        <v>467</v>
      </c>
      <c r="C161" s="10">
        <v>687255.48499999999</v>
      </c>
      <c r="D161" s="8">
        <v>700</v>
      </c>
    </row>
    <row r="162" spans="1:4" x14ac:dyDescent="0.2">
      <c r="A162" s="10">
        <v>3807086</v>
      </c>
      <c r="B162" s="8">
        <v>457.5</v>
      </c>
      <c r="C162" s="10">
        <v>694537</v>
      </c>
      <c r="D162" s="8">
        <v>742</v>
      </c>
    </row>
    <row r="163" spans="1:4" x14ac:dyDescent="0.2">
      <c r="A163" s="10">
        <v>3899813.9619999998</v>
      </c>
      <c r="B163" s="8">
        <v>432</v>
      </c>
      <c r="C163" s="10">
        <v>538365.92599999998</v>
      </c>
      <c r="D163" s="8">
        <v>688</v>
      </c>
    </row>
    <row r="164" spans="1:4" x14ac:dyDescent="0.2">
      <c r="A164" s="10">
        <v>3944107.9440000001</v>
      </c>
      <c r="B164" s="8">
        <v>438.5</v>
      </c>
      <c r="C164" s="10">
        <v>547486.32799999998</v>
      </c>
      <c r="D164" s="8">
        <v>720.5</v>
      </c>
    </row>
    <row r="165" spans="1:4" x14ac:dyDescent="0.2">
      <c r="A165" s="10">
        <v>3980981.76</v>
      </c>
      <c r="B165" s="8">
        <v>456.5</v>
      </c>
      <c r="C165" s="10">
        <v>558877.22100000002</v>
      </c>
      <c r="D165" s="8">
        <v>658.5</v>
      </c>
    </row>
    <row r="166" spans="1:4" x14ac:dyDescent="0.2">
      <c r="A166" s="10">
        <v>4132586.8560000001</v>
      </c>
      <c r="B166" s="8">
        <v>439.5</v>
      </c>
      <c r="C166" s="11">
        <v>589849.33699999901</v>
      </c>
      <c r="D166" s="8">
        <v>631.5</v>
      </c>
    </row>
    <row r="167" spans="1:4" x14ac:dyDescent="0.2">
      <c r="A167" s="10">
        <v>3903951.452</v>
      </c>
      <c r="B167" s="8">
        <v>494.5</v>
      </c>
      <c r="C167" s="10">
        <v>569229.04399999999</v>
      </c>
      <c r="D167" s="8">
        <v>658.5</v>
      </c>
    </row>
    <row r="168" spans="1:4" x14ac:dyDescent="0.2">
      <c r="A168" s="10">
        <v>4091025.6549999998</v>
      </c>
      <c r="B168" s="8">
        <v>511</v>
      </c>
      <c r="C168" s="11">
        <v>624208.65099999995</v>
      </c>
      <c r="D168" s="8">
        <v>599.5</v>
      </c>
    </row>
    <row r="169" spans="1:4" x14ac:dyDescent="0.2">
      <c r="A169" s="10">
        <v>3956806.8730000001</v>
      </c>
      <c r="B169" s="8">
        <v>449</v>
      </c>
      <c r="C169" s="10">
        <v>613656.201</v>
      </c>
      <c r="D169" s="8">
        <v>583.5</v>
      </c>
    </row>
    <row r="170" spans="1:4" x14ac:dyDescent="0.2">
      <c r="A170" s="10">
        <v>4236746.6459999997</v>
      </c>
      <c r="B170" s="8">
        <v>449.5</v>
      </c>
      <c r="C170" s="10">
        <v>718115.64300000004</v>
      </c>
      <c r="D170" s="8">
        <v>536</v>
      </c>
    </row>
    <row r="171" spans="1:4" x14ac:dyDescent="0.2">
      <c r="A171" s="10">
        <v>3819202</v>
      </c>
      <c r="B171" s="8">
        <v>467.5</v>
      </c>
      <c r="C171" s="10">
        <v>625132</v>
      </c>
      <c r="D171" s="8">
        <v>597</v>
      </c>
    </row>
    <row r="172" spans="1:4" x14ac:dyDescent="0.2">
      <c r="A172" s="10">
        <v>1119330.628</v>
      </c>
      <c r="B172" s="8">
        <v>432</v>
      </c>
      <c r="C172" s="10">
        <v>197784.867</v>
      </c>
      <c r="D172" s="8">
        <v>216</v>
      </c>
    </row>
    <row r="173" spans="1:4" x14ac:dyDescent="0.2">
      <c r="A173" s="11">
        <v>1124619.4279999901</v>
      </c>
      <c r="B173" s="8">
        <v>432</v>
      </c>
      <c r="C173" s="10">
        <v>203415.772</v>
      </c>
      <c r="D173" s="8">
        <v>230.5</v>
      </c>
    </row>
    <row r="174" spans="1:4" x14ac:dyDescent="0.2">
      <c r="A174" s="10">
        <v>1198426.9140000001</v>
      </c>
      <c r="B174" s="8">
        <v>432</v>
      </c>
      <c r="C174" s="10">
        <v>219819.08499999999</v>
      </c>
      <c r="D174" s="8">
        <v>265</v>
      </c>
    </row>
    <row r="175" spans="1:4" x14ac:dyDescent="0.2">
      <c r="A175" s="10">
        <v>1102380.656</v>
      </c>
      <c r="B175" s="8">
        <v>432</v>
      </c>
      <c r="C175" s="10">
        <v>209726.864</v>
      </c>
      <c r="D175" s="8">
        <v>195</v>
      </c>
    </row>
    <row r="176" spans="1:4" x14ac:dyDescent="0.2">
      <c r="A176" s="10">
        <v>1109160.132</v>
      </c>
      <c r="B176" s="8">
        <v>432</v>
      </c>
      <c r="C176" s="10">
        <v>220400.67300000001</v>
      </c>
      <c r="D176" s="8">
        <v>244.5</v>
      </c>
    </row>
    <row r="177" spans="1:4" x14ac:dyDescent="0.2">
      <c r="A177" s="10">
        <v>1115751.1370000001</v>
      </c>
      <c r="B177" s="8">
        <v>432</v>
      </c>
      <c r="C177" s="10">
        <v>230563.22200000001</v>
      </c>
      <c r="D177" s="8">
        <v>200.5</v>
      </c>
    </row>
    <row r="178" spans="1:4" x14ac:dyDescent="0.2">
      <c r="A178" s="10">
        <v>1099003.331</v>
      </c>
      <c r="B178" s="8">
        <v>432</v>
      </c>
      <c r="C178" s="10">
        <v>234864.277</v>
      </c>
      <c r="D178" s="8">
        <v>296</v>
      </c>
    </row>
    <row r="179" spans="1:4" x14ac:dyDescent="0.2">
      <c r="A179" s="10">
        <v>1114804.8470000001</v>
      </c>
      <c r="B179" s="8">
        <v>432</v>
      </c>
      <c r="C179" s="10">
        <v>243904.57199999999</v>
      </c>
      <c r="D179" s="8">
        <v>215</v>
      </c>
    </row>
    <row r="180" spans="1:4" x14ac:dyDescent="0.2">
      <c r="A180" s="10">
        <v>1110716</v>
      </c>
      <c r="B180" s="8">
        <v>432</v>
      </c>
      <c r="C180" s="10">
        <v>255178</v>
      </c>
      <c r="D180" s="8">
        <v>256</v>
      </c>
    </row>
    <row r="181" spans="1:4" x14ac:dyDescent="0.2">
      <c r="A181" s="10">
        <v>4973429.1560000004</v>
      </c>
      <c r="B181" s="8">
        <v>450.5</v>
      </c>
      <c r="C181" s="10">
        <v>663114.52300000004</v>
      </c>
      <c r="D181" s="8">
        <v>741.5</v>
      </c>
    </row>
    <row r="182" spans="1:4" x14ac:dyDescent="0.2">
      <c r="A182" s="10">
        <v>5048292.6109999996</v>
      </c>
      <c r="B182" s="8">
        <v>440.5</v>
      </c>
      <c r="C182" s="10">
        <v>680712.30799999996</v>
      </c>
      <c r="D182" s="8">
        <v>762</v>
      </c>
    </row>
    <row r="183" spans="1:4" x14ac:dyDescent="0.2">
      <c r="A183" s="10">
        <v>5052052.97</v>
      </c>
      <c r="B183" s="8">
        <v>448.5</v>
      </c>
      <c r="C183" s="10">
        <v>698137.43799999997</v>
      </c>
      <c r="D183" s="8">
        <v>865</v>
      </c>
    </row>
    <row r="184" spans="1:4" x14ac:dyDescent="0.2">
      <c r="A184" s="10">
        <v>5067083.7609999999</v>
      </c>
      <c r="B184" s="8">
        <v>438.5</v>
      </c>
      <c r="C184" s="10">
        <v>716292.64899999998</v>
      </c>
      <c r="D184" s="8">
        <v>788</v>
      </c>
    </row>
    <row r="185" spans="1:4" x14ac:dyDescent="0.2">
      <c r="A185" s="11">
        <v>5070569.9689999996</v>
      </c>
      <c r="B185" s="8">
        <v>457</v>
      </c>
      <c r="C185" s="10">
        <v>734077.25</v>
      </c>
      <c r="D185" s="8">
        <v>918</v>
      </c>
    </row>
    <row r="186" spans="1:4" x14ac:dyDescent="0.2">
      <c r="A186" s="10">
        <v>5151313.7989999996</v>
      </c>
      <c r="B186" s="8">
        <v>467.5</v>
      </c>
      <c r="C186" s="10">
        <v>769137.40399999998</v>
      </c>
      <c r="D186" s="8">
        <v>810.5</v>
      </c>
    </row>
    <row r="187" spans="1:4" x14ac:dyDescent="0.2">
      <c r="A187" s="10">
        <v>5162483.6950000003</v>
      </c>
      <c r="B187" s="8">
        <v>448</v>
      </c>
      <c r="C187" s="11">
        <v>790932.54699999897</v>
      </c>
      <c r="D187" s="8">
        <v>997.5</v>
      </c>
    </row>
    <row r="188" spans="1:4" x14ac:dyDescent="0.2">
      <c r="A188" s="10">
        <v>5096912.6059999997</v>
      </c>
      <c r="B188" s="8">
        <v>456.5</v>
      </c>
      <c r="C188" s="10">
        <v>808810.94799999997</v>
      </c>
      <c r="D188" s="8">
        <v>846.5</v>
      </c>
    </row>
    <row r="189" spans="1:4" x14ac:dyDescent="0.2">
      <c r="A189" s="10">
        <v>5084733</v>
      </c>
      <c r="B189" s="8">
        <v>442.5</v>
      </c>
      <c r="C189" s="10">
        <v>836474</v>
      </c>
      <c r="D189" s="8">
        <v>835.5</v>
      </c>
    </row>
    <row r="190" spans="1:4" x14ac:dyDescent="0.2">
      <c r="A190" s="10">
        <v>5640486.4029999999</v>
      </c>
      <c r="B190" s="8">
        <v>440.5</v>
      </c>
      <c r="C190" s="11">
        <v>868998.38300000003</v>
      </c>
      <c r="D190" s="8">
        <v>1178</v>
      </c>
    </row>
    <row r="191" spans="1:4" x14ac:dyDescent="0.2">
      <c r="A191" s="10">
        <v>5610565.9620000003</v>
      </c>
      <c r="B191" s="8">
        <v>439.5</v>
      </c>
      <c r="C191" s="10">
        <v>877120.75100000005</v>
      </c>
      <c r="D191" s="8">
        <v>1148</v>
      </c>
    </row>
    <row r="192" spans="1:4" x14ac:dyDescent="0.2">
      <c r="A192" s="10">
        <v>5626799.5209999997</v>
      </c>
      <c r="B192" s="8">
        <v>440.5</v>
      </c>
      <c r="C192" s="10">
        <v>897013.49</v>
      </c>
      <c r="D192" s="8">
        <v>1262</v>
      </c>
    </row>
    <row r="193" spans="1:4" x14ac:dyDescent="0.2">
      <c r="A193" s="10">
        <v>5646775.034</v>
      </c>
      <c r="B193" s="8">
        <v>432</v>
      </c>
      <c r="C193" s="10">
        <v>911507.8</v>
      </c>
      <c r="D193" s="8">
        <v>1215</v>
      </c>
    </row>
    <row r="194" spans="1:4" x14ac:dyDescent="0.2">
      <c r="A194" s="11">
        <v>5683188.4809999997</v>
      </c>
      <c r="B194" s="8">
        <v>457.5</v>
      </c>
      <c r="C194" s="10">
        <v>937471.76</v>
      </c>
      <c r="D194" s="8">
        <v>1396.5</v>
      </c>
    </row>
    <row r="195" spans="1:4" x14ac:dyDescent="0.2">
      <c r="A195" s="10">
        <v>5706306.5120000001</v>
      </c>
      <c r="B195" s="8">
        <v>479</v>
      </c>
      <c r="C195" s="10">
        <v>962384.451</v>
      </c>
      <c r="D195" s="8">
        <v>1187</v>
      </c>
    </row>
    <row r="196" spans="1:4" x14ac:dyDescent="0.2">
      <c r="A196" s="10">
        <v>5703846.1950000003</v>
      </c>
      <c r="B196" s="8">
        <v>458.5</v>
      </c>
      <c r="C196" s="10">
        <v>980267.26599999995</v>
      </c>
      <c r="D196" s="8">
        <v>1375</v>
      </c>
    </row>
    <row r="197" spans="1:4" x14ac:dyDescent="0.2">
      <c r="A197" s="10">
        <v>5727121.6679999996</v>
      </c>
      <c r="B197" s="8">
        <v>445</v>
      </c>
      <c r="C197" s="10">
        <v>1016590.853</v>
      </c>
      <c r="D197" s="8">
        <v>1109.5</v>
      </c>
    </row>
    <row r="198" spans="1:4" x14ac:dyDescent="0.2">
      <c r="A198" s="10">
        <v>5743714</v>
      </c>
      <c r="B198" s="8">
        <v>456.5</v>
      </c>
      <c r="C198" s="10">
        <v>1049218</v>
      </c>
      <c r="D198" s="8">
        <v>1301.5</v>
      </c>
    </row>
    <row r="199" spans="1:4" x14ac:dyDescent="0.2">
      <c r="A199" s="10">
        <v>8743095.6030000001</v>
      </c>
      <c r="B199" s="8">
        <v>545</v>
      </c>
      <c r="C199" s="10">
        <v>1286359.2039999999</v>
      </c>
      <c r="D199" s="8">
        <v>1293</v>
      </c>
    </row>
    <row r="200" spans="1:4" x14ac:dyDescent="0.2">
      <c r="A200" s="10">
        <v>8713137.557</v>
      </c>
      <c r="B200" s="8">
        <v>471.5</v>
      </c>
      <c r="C200" s="10">
        <v>1325667.4450000001</v>
      </c>
      <c r="D200" s="8">
        <v>1273.5</v>
      </c>
    </row>
    <row r="201" spans="1:4" x14ac:dyDescent="0.2">
      <c r="A201" s="11">
        <v>8681952.8019999992</v>
      </c>
      <c r="B201" s="8">
        <v>524.5</v>
      </c>
      <c r="C201" s="10">
        <v>1356059.1359999999</v>
      </c>
      <c r="D201" s="8">
        <v>1464.5</v>
      </c>
    </row>
    <row r="202" spans="1:4" x14ac:dyDescent="0.2">
      <c r="A202" s="10">
        <v>8588366.9670000002</v>
      </c>
      <c r="B202" s="8">
        <v>493</v>
      </c>
      <c r="C202" s="10">
        <v>1377247.635</v>
      </c>
      <c r="D202" s="8">
        <v>1334.5</v>
      </c>
    </row>
    <row r="203" spans="1:4" x14ac:dyDescent="0.2">
      <c r="A203" s="10">
        <v>8584922.5260000005</v>
      </c>
      <c r="B203" s="8">
        <v>559</v>
      </c>
      <c r="C203" s="10">
        <v>1416956.932</v>
      </c>
      <c r="D203" s="8">
        <v>1586</v>
      </c>
    </row>
    <row r="204" spans="1:4" x14ac:dyDescent="0.2">
      <c r="A204" s="10">
        <v>8731892.0659999996</v>
      </c>
      <c r="B204" s="8">
        <v>555.5</v>
      </c>
      <c r="C204" s="10">
        <v>1481841.2290000001</v>
      </c>
      <c r="D204" s="8">
        <v>1553</v>
      </c>
    </row>
    <row r="205" spans="1:4" x14ac:dyDescent="0.2">
      <c r="A205" s="10">
        <v>8368306.4699999997</v>
      </c>
      <c r="B205" s="8">
        <v>547</v>
      </c>
      <c r="C205" s="10">
        <v>1468343.5959999999</v>
      </c>
      <c r="D205" s="8">
        <v>1607</v>
      </c>
    </row>
    <row r="206" spans="1:4" x14ac:dyDescent="0.2">
      <c r="A206" s="10">
        <v>8506840.6610000003</v>
      </c>
      <c r="B206" s="8">
        <v>542.5</v>
      </c>
      <c r="C206" s="10">
        <v>1531799.73</v>
      </c>
      <c r="D206" s="8">
        <v>1354</v>
      </c>
    </row>
    <row r="207" spans="1:4" x14ac:dyDescent="0.2">
      <c r="A207" s="10">
        <v>8290710</v>
      </c>
      <c r="B207" s="8">
        <v>559</v>
      </c>
      <c r="C207" s="10">
        <v>1544991</v>
      </c>
      <c r="D207" s="8">
        <v>1495</v>
      </c>
    </row>
    <row r="208" spans="1:4" x14ac:dyDescent="0.2">
      <c r="A208" s="10">
        <v>4538579.5650000004</v>
      </c>
      <c r="B208" s="8">
        <v>438.5</v>
      </c>
      <c r="C208" s="10">
        <v>641683.07299999997</v>
      </c>
      <c r="D208" s="8">
        <v>515.5</v>
      </c>
    </row>
    <row r="209" spans="1:4" x14ac:dyDescent="0.2">
      <c r="A209" s="10">
        <v>4629259.477</v>
      </c>
      <c r="B209" s="8">
        <v>432</v>
      </c>
      <c r="C209" s="10">
        <v>664174.11100000003</v>
      </c>
      <c r="D209" s="8">
        <v>520</v>
      </c>
    </row>
    <row r="210" spans="1:4" x14ac:dyDescent="0.2">
      <c r="A210" s="10">
        <v>4525809.7050000001</v>
      </c>
      <c r="B210" s="8">
        <v>432</v>
      </c>
      <c r="C210" s="10">
        <v>651829.77800000005</v>
      </c>
      <c r="D210" s="8">
        <v>573</v>
      </c>
    </row>
    <row r="211" spans="1:4" x14ac:dyDescent="0.2">
      <c r="A211" s="10">
        <v>4462834.3969999999</v>
      </c>
      <c r="B211" s="8">
        <v>432</v>
      </c>
      <c r="C211" s="11">
        <v>646559.196999999</v>
      </c>
      <c r="D211" s="8">
        <v>571</v>
      </c>
    </row>
    <row r="212" spans="1:4" x14ac:dyDescent="0.2">
      <c r="A212" s="10">
        <v>4928622.6579999998</v>
      </c>
      <c r="B212" s="8">
        <v>432</v>
      </c>
      <c r="C212" s="10">
        <v>795161.83</v>
      </c>
      <c r="D212" s="8">
        <v>639</v>
      </c>
    </row>
    <row r="213" spans="1:4" x14ac:dyDescent="0.2">
      <c r="A213" s="10">
        <v>4662695.2319999998</v>
      </c>
      <c r="B213" s="8">
        <v>443</v>
      </c>
      <c r="C213" s="10">
        <v>719645.86100000003</v>
      </c>
      <c r="D213" s="8">
        <v>506</v>
      </c>
    </row>
    <row r="214" spans="1:4" x14ac:dyDescent="0.2">
      <c r="A214" s="10">
        <v>4697211.5659999996</v>
      </c>
      <c r="B214" s="8">
        <v>432</v>
      </c>
      <c r="C214" s="10">
        <v>754893.37300000002</v>
      </c>
      <c r="D214" s="8">
        <v>629.5</v>
      </c>
    </row>
    <row r="215" spans="1:4" x14ac:dyDescent="0.2">
      <c r="A215" s="10">
        <v>4673092.3190000001</v>
      </c>
      <c r="B215" s="8">
        <v>432</v>
      </c>
      <c r="C215" s="11">
        <v>775633.30199999898</v>
      </c>
      <c r="D215" s="8">
        <v>429.5</v>
      </c>
    </row>
    <row r="216" spans="1:4" x14ac:dyDescent="0.2">
      <c r="A216" s="10">
        <v>4540255</v>
      </c>
      <c r="B216" s="8">
        <v>432</v>
      </c>
      <c r="C216" s="10">
        <v>773934</v>
      </c>
      <c r="D216" s="8">
        <v>568.5</v>
      </c>
    </row>
    <row r="217" spans="1:4" x14ac:dyDescent="0.2">
      <c r="A217" s="10">
        <v>2614058.7039999999</v>
      </c>
      <c r="B217" s="8">
        <v>432</v>
      </c>
      <c r="C217" s="10">
        <v>374952.68300000002</v>
      </c>
      <c r="D217" s="8">
        <v>453.5</v>
      </c>
    </row>
    <row r="218" spans="1:4" x14ac:dyDescent="0.2">
      <c r="A218" s="10">
        <v>2476941.8119999999</v>
      </c>
      <c r="B218" s="8">
        <v>437.5</v>
      </c>
      <c r="C218" s="10">
        <v>352257.93900000001</v>
      </c>
      <c r="D218" s="8">
        <v>429.5</v>
      </c>
    </row>
    <row r="219" spans="1:4" x14ac:dyDescent="0.2">
      <c r="A219" s="10">
        <v>2603282.4330000002</v>
      </c>
      <c r="B219" s="8">
        <v>432</v>
      </c>
      <c r="C219" s="10">
        <v>382039.58199999999</v>
      </c>
      <c r="D219" s="8">
        <v>484</v>
      </c>
    </row>
    <row r="220" spans="1:4" x14ac:dyDescent="0.2">
      <c r="A220" s="10">
        <v>2605334.0559999999</v>
      </c>
      <c r="B220" s="8">
        <v>432</v>
      </c>
      <c r="C220" s="10">
        <v>389980.68699999998</v>
      </c>
      <c r="D220" s="8">
        <v>443.5</v>
      </c>
    </row>
    <row r="221" spans="1:4" x14ac:dyDescent="0.2">
      <c r="A221" s="10">
        <v>2643946.247</v>
      </c>
      <c r="B221" s="8">
        <v>456.5</v>
      </c>
      <c r="C221" s="10">
        <v>408406.74300000002</v>
      </c>
      <c r="D221" s="8">
        <v>591.5</v>
      </c>
    </row>
    <row r="222" spans="1:4" x14ac:dyDescent="0.2">
      <c r="A222" s="10">
        <v>2604429.0649999999</v>
      </c>
      <c r="B222" s="8">
        <v>492</v>
      </c>
      <c r="C222" s="10">
        <v>423462.63400000002</v>
      </c>
      <c r="D222" s="8">
        <v>552</v>
      </c>
    </row>
    <row r="223" spans="1:4" x14ac:dyDescent="0.2">
      <c r="A223" s="10">
        <v>2525490.7110000001</v>
      </c>
      <c r="B223" s="8">
        <v>451.5</v>
      </c>
      <c r="C223" s="10">
        <v>408642.68199999997</v>
      </c>
      <c r="D223" s="8">
        <v>641.5</v>
      </c>
    </row>
    <row r="224" spans="1:4" x14ac:dyDescent="0.2">
      <c r="A224" s="10">
        <v>2603000.5440000002</v>
      </c>
      <c r="B224" s="8">
        <v>463.5</v>
      </c>
      <c r="C224" s="10">
        <v>438886.53</v>
      </c>
      <c r="D224" s="8">
        <v>615.5</v>
      </c>
    </row>
    <row r="225" spans="1:4" x14ac:dyDescent="0.2">
      <c r="A225" s="10">
        <v>2274018</v>
      </c>
      <c r="B225" s="8">
        <v>468</v>
      </c>
      <c r="C225" s="10">
        <v>405335</v>
      </c>
      <c r="D225" s="8">
        <v>585</v>
      </c>
    </row>
    <row r="226" spans="1:4" x14ac:dyDescent="0.2">
      <c r="A226" s="10">
        <v>5006230.7609999999</v>
      </c>
      <c r="B226" s="8">
        <v>475</v>
      </c>
      <c r="C226" s="11">
        <v>777185.897999999</v>
      </c>
      <c r="D226" s="8">
        <v>1117</v>
      </c>
    </row>
    <row r="227" spans="1:4" x14ac:dyDescent="0.2">
      <c r="A227" s="10">
        <v>5065562.0630000001</v>
      </c>
      <c r="B227" s="8">
        <v>445</v>
      </c>
      <c r="C227" s="10">
        <v>807473.54599999997</v>
      </c>
      <c r="D227" s="8">
        <v>1004</v>
      </c>
    </row>
    <row r="228" spans="1:4" x14ac:dyDescent="0.2">
      <c r="A228" s="10">
        <v>5073465.0999999996</v>
      </c>
      <c r="B228" s="8">
        <v>457.5</v>
      </c>
      <c r="C228" s="10">
        <v>811808.60499999998</v>
      </c>
      <c r="D228" s="8">
        <v>1014.5</v>
      </c>
    </row>
    <row r="229" spans="1:4" x14ac:dyDescent="0.2">
      <c r="A229" s="10">
        <v>5132634.409</v>
      </c>
      <c r="B229" s="8">
        <v>474</v>
      </c>
      <c r="C229" s="10">
        <v>841510.17599999998</v>
      </c>
      <c r="D229" s="8">
        <v>1028</v>
      </c>
    </row>
    <row r="230" spans="1:4" x14ac:dyDescent="0.2">
      <c r="A230" s="10">
        <v>4965788.068</v>
      </c>
      <c r="B230" s="8">
        <v>464.5</v>
      </c>
      <c r="C230" s="10">
        <v>820137.08</v>
      </c>
      <c r="D230" s="8">
        <v>1134.5</v>
      </c>
    </row>
    <row r="231" spans="1:4" x14ac:dyDescent="0.2">
      <c r="A231" s="10">
        <v>5386946.5839999998</v>
      </c>
      <c r="B231" s="8">
        <v>492</v>
      </c>
      <c r="C231" s="10">
        <v>923829.674</v>
      </c>
      <c r="D231" s="8">
        <v>1099</v>
      </c>
    </row>
    <row r="232" spans="1:4" x14ac:dyDescent="0.2">
      <c r="A232" s="10">
        <v>5069476.1560000004</v>
      </c>
      <c r="B232" s="8">
        <v>454.5</v>
      </c>
      <c r="C232" s="10">
        <v>886298.63300000003</v>
      </c>
      <c r="D232" s="8">
        <v>1153.5</v>
      </c>
    </row>
    <row r="233" spans="1:4" x14ac:dyDescent="0.2">
      <c r="A233" s="10">
        <v>5239788.62</v>
      </c>
      <c r="B233" s="8">
        <v>480.5</v>
      </c>
      <c r="C233" s="10">
        <v>945940.62800000003</v>
      </c>
      <c r="D233" s="8">
        <v>956</v>
      </c>
    </row>
    <row r="234" spans="1:4" x14ac:dyDescent="0.2">
      <c r="A234" s="10">
        <v>4987969</v>
      </c>
      <c r="B234" s="8">
        <v>443</v>
      </c>
      <c r="C234" s="10">
        <v>909607</v>
      </c>
      <c r="D234" s="8">
        <v>1110.5</v>
      </c>
    </row>
    <row r="235" spans="1:4" x14ac:dyDescent="0.2">
      <c r="A235" s="10">
        <v>807505.98600000003</v>
      </c>
      <c r="B235" s="8">
        <v>432</v>
      </c>
      <c r="C235" s="10">
        <v>131838.68100000001</v>
      </c>
      <c r="D235" s="8">
        <v>180</v>
      </c>
    </row>
    <row r="236" spans="1:4" x14ac:dyDescent="0.2">
      <c r="A236" s="10">
        <v>804009.78</v>
      </c>
      <c r="B236" s="8">
        <v>432</v>
      </c>
      <c r="C236" s="10">
        <v>134086.67199999999</v>
      </c>
      <c r="D236" s="8">
        <v>192.5</v>
      </c>
    </row>
    <row r="237" spans="1:4" x14ac:dyDescent="0.2">
      <c r="A237" s="11">
        <v>849504.49899999995</v>
      </c>
      <c r="B237" s="8">
        <v>432</v>
      </c>
      <c r="C237" s="10">
        <v>145949.56299999999</v>
      </c>
      <c r="D237" s="8">
        <v>180</v>
      </c>
    </row>
    <row r="238" spans="1:4" x14ac:dyDescent="0.2">
      <c r="A238" s="10">
        <v>823031.23199999996</v>
      </c>
      <c r="B238" s="8">
        <v>432</v>
      </c>
      <c r="C238" s="10">
        <v>146957.829</v>
      </c>
      <c r="D238" s="8">
        <v>187.5</v>
      </c>
    </row>
    <row r="239" spans="1:4" x14ac:dyDescent="0.2">
      <c r="A239" s="11">
        <v>815792.64299999899</v>
      </c>
      <c r="B239" s="8">
        <v>432</v>
      </c>
      <c r="C239" s="10">
        <v>147585.91800000001</v>
      </c>
      <c r="D239" s="8">
        <v>215</v>
      </c>
    </row>
    <row r="240" spans="1:4" x14ac:dyDescent="0.2">
      <c r="A240" s="10">
        <v>776872.576</v>
      </c>
      <c r="B240" s="8">
        <v>432</v>
      </c>
      <c r="C240" s="10">
        <v>141968.399</v>
      </c>
      <c r="D240" s="8">
        <v>190</v>
      </c>
    </row>
    <row r="241" spans="1:4" x14ac:dyDescent="0.2">
      <c r="A241" s="10">
        <v>891916.13</v>
      </c>
      <c r="B241" s="8">
        <v>432</v>
      </c>
      <c r="C241" s="10">
        <v>175138.568</v>
      </c>
      <c r="D241" s="8">
        <v>202</v>
      </c>
    </row>
    <row r="242" spans="1:4" x14ac:dyDescent="0.2">
      <c r="A242" s="10">
        <v>858945.15399999998</v>
      </c>
      <c r="B242" s="8">
        <v>432</v>
      </c>
      <c r="C242" s="10">
        <v>171199.77900000001</v>
      </c>
      <c r="D242" s="8">
        <v>168.5</v>
      </c>
    </row>
    <row r="243" spans="1:4" x14ac:dyDescent="0.2">
      <c r="A243" s="10">
        <v>770885</v>
      </c>
      <c r="B243" s="8">
        <v>432</v>
      </c>
      <c r="C243" s="10">
        <v>153831</v>
      </c>
      <c r="D243" s="8">
        <v>198</v>
      </c>
    </row>
    <row r="244" spans="1:4" x14ac:dyDescent="0.2">
      <c r="A244" s="11">
        <v>1511291.92499999</v>
      </c>
      <c r="B244" s="8">
        <v>432</v>
      </c>
      <c r="C244" s="10">
        <v>232233.139</v>
      </c>
      <c r="D244" s="8">
        <v>247</v>
      </c>
    </row>
    <row r="245" spans="1:4" x14ac:dyDescent="0.2">
      <c r="A245" s="10">
        <v>1549562.567</v>
      </c>
      <c r="B245" s="8">
        <v>432</v>
      </c>
      <c r="C245" s="10">
        <v>240049.66699999999</v>
      </c>
      <c r="D245" s="8">
        <v>256</v>
      </c>
    </row>
    <row r="246" spans="1:4" x14ac:dyDescent="0.2">
      <c r="A246" s="10">
        <v>1574317.111</v>
      </c>
      <c r="B246" s="8">
        <v>432</v>
      </c>
      <c r="C246" s="10">
        <v>245220.826</v>
      </c>
      <c r="D246" s="8">
        <v>301.5</v>
      </c>
    </row>
    <row r="247" spans="1:4" x14ac:dyDescent="0.2">
      <c r="A247" s="10">
        <v>1539115.8030000001</v>
      </c>
      <c r="B247" s="8">
        <v>432</v>
      </c>
      <c r="C247" s="10">
        <v>238401.038</v>
      </c>
      <c r="D247" s="8">
        <v>276</v>
      </c>
    </row>
    <row r="248" spans="1:4" x14ac:dyDescent="0.2">
      <c r="A248" s="10">
        <v>1565374.2279999999</v>
      </c>
      <c r="B248" s="8">
        <v>432</v>
      </c>
      <c r="C248" s="10">
        <v>245056.959</v>
      </c>
      <c r="D248" s="8">
        <v>320.5</v>
      </c>
    </row>
    <row r="249" spans="1:4" x14ac:dyDescent="0.2">
      <c r="A249" s="10">
        <v>1595842.54</v>
      </c>
      <c r="B249" s="8">
        <v>432</v>
      </c>
      <c r="C249" s="10">
        <v>261357.283</v>
      </c>
      <c r="D249" s="8">
        <v>295</v>
      </c>
    </row>
    <row r="250" spans="1:4" x14ac:dyDescent="0.2">
      <c r="A250" s="10">
        <v>1652199.9609999999</v>
      </c>
      <c r="B250" s="8">
        <v>432</v>
      </c>
      <c r="C250" s="10">
        <v>276998.614</v>
      </c>
      <c r="D250" s="8">
        <v>320.5</v>
      </c>
    </row>
    <row r="251" spans="1:4" x14ac:dyDescent="0.2">
      <c r="A251" s="10">
        <v>1656227.922</v>
      </c>
      <c r="B251" s="8">
        <v>432</v>
      </c>
      <c r="C251" s="10">
        <v>283440.31599999999</v>
      </c>
      <c r="D251" s="8">
        <v>295</v>
      </c>
    </row>
    <row r="252" spans="1:4" x14ac:dyDescent="0.2">
      <c r="A252" s="10">
        <v>1569886</v>
      </c>
      <c r="B252" s="8">
        <v>432</v>
      </c>
      <c r="C252" s="10">
        <v>267220</v>
      </c>
      <c r="D252" s="8">
        <v>342</v>
      </c>
    </row>
    <row r="253" spans="1:4" x14ac:dyDescent="0.2">
      <c r="A253" s="11">
        <v>2250670.7129999902</v>
      </c>
      <c r="B253" s="8">
        <v>437.5</v>
      </c>
      <c r="C253" s="10">
        <v>287539.783</v>
      </c>
      <c r="D253" s="8">
        <v>347.5</v>
      </c>
    </row>
    <row r="254" spans="1:4" x14ac:dyDescent="0.2">
      <c r="A254" s="10">
        <v>2331275.6850000001</v>
      </c>
      <c r="B254" s="8">
        <v>432</v>
      </c>
      <c r="C254" s="10">
        <v>301759.87199999997</v>
      </c>
      <c r="D254" s="8">
        <v>318.5</v>
      </c>
    </row>
    <row r="255" spans="1:4" x14ac:dyDescent="0.2">
      <c r="A255" s="11">
        <v>2357980.6529999902</v>
      </c>
      <c r="B255" s="8">
        <v>432</v>
      </c>
      <c r="C255" s="10">
        <v>315101.92700000003</v>
      </c>
      <c r="D255" s="8">
        <v>321</v>
      </c>
    </row>
    <row r="256" spans="1:4" x14ac:dyDescent="0.2">
      <c r="A256" s="10">
        <v>2360156.753</v>
      </c>
      <c r="B256" s="8">
        <v>432</v>
      </c>
      <c r="C256" s="10">
        <v>327820.11800000002</v>
      </c>
      <c r="D256" s="8">
        <v>368</v>
      </c>
    </row>
    <row r="257" spans="1:4" x14ac:dyDescent="0.2">
      <c r="A257" s="10">
        <v>2381034.0389999999</v>
      </c>
      <c r="B257" s="8">
        <v>446</v>
      </c>
      <c r="C257" s="10">
        <v>344453.005</v>
      </c>
      <c r="D257" s="8">
        <v>329.5</v>
      </c>
    </row>
    <row r="258" spans="1:4" x14ac:dyDescent="0.2">
      <c r="A258" s="10">
        <v>2402744.8769999999</v>
      </c>
      <c r="B258" s="8">
        <v>450.5</v>
      </c>
      <c r="C258" s="10">
        <v>364642.16</v>
      </c>
      <c r="D258" s="8">
        <v>501.5</v>
      </c>
    </row>
    <row r="259" spans="1:4" x14ac:dyDescent="0.2">
      <c r="A259" s="10">
        <v>2497603.4929999998</v>
      </c>
      <c r="B259" s="8">
        <v>450.5</v>
      </c>
      <c r="C259" s="10">
        <v>391236.94199999998</v>
      </c>
      <c r="D259" s="8">
        <v>462.5</v>
      </c>
    </row>
    <row r="260" spans="1:4" x14ac:dyDescent="0.2">
      <c r="A260" s="11">
        <v>2516701.4509999999</v>
      </c>
      <c r="B260" s="8">
        <v>461</v>
      </c>
      <c r="C260" s="10">
        <v>422284.65500000003</v>
      </c>
      <c r="D260" s="8">
        <v>381</v>
      </c>
    </row>
    <row r="261" spans="1:4" x14ac:dyDescent="0.2">
      <c r="A261" s="10">
        <v>2449461</v>
      </c>
      <c r="B261" s="8">
        <v>463</v>
      </c>
      <c r="C261" s="10">
        <v>421690</v>
      </c>
      <c r="D261" s="8">
        <v>444</v>
      </c>
    </row>
    <row r="262" spans="1:4" x14ac:dyDescent="0.2">
      <c r="A262" s="10">
        <v>1146953.0279999999</v>
      </c>
      <c r="B262" s="8">
        <v>432</v>
      </c>
      <c r="C262" s="10">
        <v>169178.11799999999</v>
      </c>
      <c r="D262" s="8">
        <v>193</v>
      </c>
    </row>
    <row r="263" spans="1:4" x14ac:dyDescent="0.2">
      <c r="A263" s="10">
        <v>1143077.3500000001</v>
      </c>
      <c r="B263" s="8">
        <v>432</v>
      </c>
      <c r="C263" s="10">
        <v>170318.71799999999</v>
      </c>
      <c r="D263" s="8">
        <v>202.5</v>
      </c>
    </row>
    <row r="264" spans="1:4" x14ac:dyDescent="0.2">
      <c r="A264" s="10">
        <v>1157381.7860000001</v>
      </c>
      <c r="B264" s="8">
        <v>432</v>
      </c>
      <c r="C264" s="10">
        <v>176033.11300000001</v>
      </c>
      <c r="D264" s="8">
        <v>234.5</v>
      </c>
    </row>
    <row r="265" spans="1:4" x14ac:dyDescent="0.2">
      <c r="A265" s="10">
        <v>1137306.324</v>
      </c>
      <c r="B265" s="8">
        <v>432</v>
      </c>
      <c r="C265" s="10">
        <v>181157.38500000001</v>
      </c>
      <c r="D265" s="8">
        <v>228.5</v>
      </c>
    </row>
    <row r="266" spans="1:4" x14ac:dyDescent="0.2">
      <c r="A266" s="11">
        <v>1132052.095</v>
      </c>
      <c r="B266" s="8">
        <v>432</v>
      </c>
      <c r="C266" s="10">
        <v>186859.56200000001</v>
      </c>
      <c r="D266" s="8">
        <v>224</v>
      </c>
    </row>
    <row r="267" spans="1:4" x14ac:dyDescent="0.2">
      <c r="A267" s="10">
        <v>1091816.0660000001</v>
      </c>
      <c r="B267" s="8">
        <v>432</v>
      </c>
      <c r="C267" s="10">
        <v>186227.503</v>
      </c>
      <c r="D267" s="8">
        <v>198.5</v>
      </c>
    </row>
    <row r="268" spans="1:4" x14ac:dyDescent="0.2">
      <c r="A268" s="10">
        <v>1060674.743</v>
      </c>
      <c r="B268" s="8">
        <v>432</v>
      </c>
      <c r="C268" s="10">
        <v>184193.99400000001</v>
      </c>
      <c r="D268" s="8">
        <v>261.5</v>
      </c>
    </row>
    <row r="269" spans="1:4" x14ac:dyDescent="0.2">
      <c r="A269" s="10">
        <v>1116633.7350000001</v>
      </c>
      <c r="B269" s="8">
        <v>432</v>
      </c>
      <c r="C269" s="10">
        <v>210513.984</v>
      </c>
      <c r="D269" s="8">
        <v>189</v>
      </c>
    </row>
    <row r="270" spans="1:4" x14ac:dyDescent="0.2">
      <c r="A270" s="10">
        <v>1150082</v>
      </c>
      <c r="B270" s="8">
        <v>432</v>
      </c>
      <c r="C270" s="10">
        <v>225300</v>
      </c>
      <c r="D270" s="8">
        <v>228.5</v>
      </c>
    </row>
    <row r="271" spans="1:4" x14ac:dyDescent="0.2">
      <c r="A271" s="10">
        <v>7509541.8839999996</v>
      </c>
      <c r="B271" s="8">
        <v>474</v>
      </c>
      <c r="C271" s="10">
        <v>1141421.0090000001</v>
      </c>
      <c r="D271" s="8">
        <v>1092</v>
      </c>
    </row>
    <row r="272" spans="1:4" x14ac:dyDescent="0.2">
      <c r="A272" s="10">
        <v>7565713.5820000004</v>
      </c>
      <c r="B272" s="8">
        <v>449.5</v>
      </c>
      <c r="C272" s="10">
        <v>1155586.2860000001</v>
      </c>
      <c r="D272" s="8">
        <v>946.5</v>
      </c>
    </row>
    <row r="273" spans="1:4" x14ac:dyDescent="0.2">
      <c r="A273" s="10">
        <v>7576792.1579999998</v>
      </c>
      <c r="B273" s="8">
        <v>467.5</v>
      </c>
      <c r="C273" s="10">
        <v>1173040.6780000001</v>
      </c>
      <c r="D273" s="8">
        <v>1016</v>
      </c>
    </row>
    <row r="274" spans="1:4" x14ac:dyDescent="0.2">
      <c r="A274" s="11">
        <v>7597577.3549999902</v>
      </c>
      <c r="B274" s="8">
        <v>446</v>
      </c>
      <c r="C274" s="10">
        <v>1198409.213</v>
      </c>
      <c r="D274" s="8">
        <v>970</v>
      </c>
    </row>
    <row r="275" spans="1:4" x14ac:dyDescent="0.2">
      <c r="A275" s="10">
        <v>7610468.3039999995</v>
      </c>
      <c r="B275" s="8">
        <v>472.5</v>
      </c>
      <c r="C275" s="10">
        <v>1221817.905</v>
      </c>
      <c r="D275" s="8">
        <v>1164</v>
      </c>
    </row>
    <row r="276" spans="1:4" x14ac:dyDescent="0.2">
      <c r="A276" s="10">
        <v>7630191.6140000001</v>
      </c>
      <c r="B276" s="8">
        <v>457</v>
      </c>
      <c r="C276" s="11">
        <v>1247956.83699999</v>
      </c>
      <c r="D276" s="8">
        <v>1039.5</v>
      </c>
    </row>
    <row r="277" spans="1:4" x14ac:dyDescent="0.2">
      <c r="A277" s="11">
        <v>7624172.5719999997</v>
      </c>
      <c r="B277" s="8">
        <v>467</v>
      </c>
      <c r="C277" s="10">
        <v>1279769.193</v>
      </c>
      <c r="D277" s="8">
        <v>1234</v>
      </c>
    </row>
    <row r="278" spans="1:4" x14ac:dyDescent="0.2">
      <c r="A278" s="10">
        <v>7550311.6540000001</v>
      </c>
      <c r="B278" s="8">
        <v>472.5</v>
      </c>
      <c r="C278" s="10">
        <v>1301696.476</v>
      </c>
      <c r="D278" s="8">
        <v>1030</v>
      </c>
    </row>
    <row r="279" spans="1:4" x14ac:dyDescent="0.2">
      <c r="A279" s="10">
        <v>7747113</v>
      </c>
      <c r="B279" s="8">
        <v>474</v>
      </c>
      <c r="C279" s="10">
        <v>1368792</v>
      </c>
      <c r="D279" s="8">
        <v>1137.5</v>
      </c>
    </row>
    <row r="280" spans="1:4" x14ac:dyDescent="0.2">
      <c r="A280" s="10">
        <v>1717252.7139999999</v>
      </c>
      <c r="B280" s="8">
        <v>432</v>
      </c>
      <c r="C280" s="10">
        <v>248670.01199999999</v>
      </c>
      <c r="D280" s="8">
        <v>238</v>
      </c>
    </row>
    <row r="281" spans="1:4" x14ac:dyDescent="0.2">
      <c r="A281" s="10">
        <v>1838941.7609999999</v>
      </c>
      <c r="B281" s="8">
        <v>432</v>
      </c>
      <c r="C281" s="10">
        <v>267827.853</v>
      </c>
      <c r="D281" s="8">
        <v>249</v>
      </c>
    </row>
    <row r="282" spans="1:4" x14ac:dyDescent="0.2">
      <c r="A282" s="10">
        <v>1782466.395</v>
      </c>
      <c r="B282" s="8">
        <v>432</v>
      </c>
      <c r="C282" s="10">
        <v>266518.14299999998</v>
      </c>
      <c r="D282" s="8">
        <v>274.5</v>
      </c>
    </row>
    <row r="283" spans="1:4" x14ac:dyDescent="0.2">
      <c r="A283" s="11">
        <v>1750878.38499999</v>
      </c>
      <c r="B283" s="8">
        <v>432</v>
      </c>
      <c r="C283" s="10">
        <v>266490.04800000001</v>
      </c>
      <c r="D283" s="8">
        <v>229</v>
      </c>
    </row>
    <row r="284" spans="1:4" x14ac:dyDescent="0.2">
      <c r="A284" s="10">
        <v>1784445.1569999999</v>
      </c>
      <c r="B284" s="8">
        <v>432</v>
      </c>
      <c r="C284" s="10">
        <v>283262.31300000002</v>
      </c>
      <c r="D284" s="8">
        <v>274</v>
      </c>
    </row>
    <row r="285" spans="1:4" x14ac:dyDescent="0.2">
      <c r="A285" s="10">
        <v>1726783.8770000001</v>
      </c>
      <c r="B285" s="8">
        <v>432</v>
      </c>
      <c r="C285" s="10">
        <v>283704.397</v>
      </c>
      <c r="D285" s="8">
        <v>246</v>
      </c>
    </row>
    <row r="286" spans="1:4" x14ac:dyDescent="0.2">
      <c r="A286" s="11">
        <v>1659061.96899999</v>
      </c>
      <c r="B286" s="8">
        <v>432</v>
      </c>
      <c r="C286" s="10">
        <v>281262.255</v>
      </c>
      <c r="D286" s="8">
        <v>241</v>
      </c>
    </row>
    <row r="287" spans="1:4" x14ac:dyDescent="0.2">
      <c r="A287" s="10">
        <v>1752138.5789999999</v>
      </c>
      <c r="B287" s="8">
        <v>432</v>
      </c>
      <c r="C287" s="10">
        <v>311244.967</v>
      </c>
      <c r="D287" s="8">
        <v>240.5</v>
      </c>
    </row>
    <row r="288" spans="1:4" x14ac:dyDescent="0.2">
      <c r="A288" s="10">
        <v>1746752</v>
      </c>
      <c r="B288" s="8">
        <v>432</v>
      </c>
      <c r="C288" s="10">
        <v>318816</v>
      </c>
      <c r="D288" s="8">
        <v>246</v>
      </c>
    </row>
    <row r="289" spans="1:4" x14ac:dyDescent="0.2">
      <c r="A289" s="10">
        <v>16863053.967999998</v>
      </c>
      <c r="B289" s="8">
        <v>826</v>
      </c>
      <c r="C289" s="10">
        <v>2562311.1</v>
      </c>
      <c r="D289" s="8">
        <v>3878</v>
      </c>
    </row>
    <row r="290" spans="1:4" x14ac:dyDescent="0.2">
      <c r="A290" s="10">
        <v>16684315.416999999</v>
      </c>
      <c r="B290" s="8">
        <v>790</v>
      </c>
      <c r="C290" s="10">
        <v>2556539.7110000001</v>
      </c>
      <c r="D290" s="8">
        <v>4065</v>
      </c>
    </row>
    <row r="291" spans="1:4" x14ac:dyDescent="0.2">
      <c r="A291" s="10">
        <v>16747188.793</v>
      </c>
      <c r="B291" s="8">
        <v>819.5</v>
      </c>
      <c r="C291" s="10">
        <v>2603943.202</v>
      </c>
      <c r="D291" s="8">
        <v>4296</v>
      </c>
    </row>
    <row r="292" spans="1:4" x14ac:dyDescent="0.2">
      <c r="A292" s="10">
        <v>16680816.460999999</v>
      </c>
      <c r="B292" s="8">
        <v>760.5</v>
      </c>
      <c r="C292" s="10">
        <v>2622463.33</v>
      </c>
      <c r="D292" s="8">
        <v>3869</v>
      </c>
    </row>
    <row r="293" spans="1:4" x14ac:dyDescent="0.2">
      <c r="A293" s="10">
        <v>16794428.192000002</v>
      </c>
      <c r="B293" s="8">
        <v>822.5</v>
      </c>
      <c r="C293" s="11">
        <v>2699961.2089999998</v>
      </c>
      <c r="D293" s="8">
        <v>4282</v>
      </c>
    </row>
    <row r="294" spans="1:4" x14ac:dyDescent="0.2">
      <c r="A294" s="10">
        <v>16872403.691</v>
      </c>
      <c r="B294" s="8">
        <v>895</v>
      </c>
      <c r="C294" s="10">
        <v>2763748.8110000002</v>
      </c>
      <c r="D294" s="8">
        <v>4030</v>
      </c>
    </row>
    <row r="295" spans="1:4" x14ac:dyDescent="0.2">
      <c r="A295" s="10">
        <v>16799901.763999999</v>
      </c>
      <c r="B295" s="8">
        <v>792.5</v>
      </c>
      <c r="C295" s="10">
        <v>2802365.3969999999</v>
      </c>
      <c r="D295" s="8">
        <v>4298</v>
      </c>
    </row>
    <row r="296" spans="1:4" x14ac:dyDescent="0.2">
      <c r="A296" s="11">
        <v>16873067.364999998</v>
      </c>
      <c r="B296" s="8">
        <v>820</v>
      </c>
      <c r="C296" s="10">
        <v>2907767.4980000001</v>
      </c>
      <c r="D296" s="8">
        <v>3903</v>
      </c>
    </row>
    <row r="297" spans="1:4" x14ac:dyDescent="0.2">
      <c r="A297" s="10">
        <v>16888307</v>
      </c>
      <c r="B297" s="8">
        <v>779</v>
      </c>
      <c r="C297" s="10">
        <v>3011494</v>
      </c>
      <c r="D297" s="8">
        <v>3955</v>
      </c>
    </row>
    <row r="298" spans="1:4" x14ac:dyDescent="0.2">
      <c r="A298" s="10">
        <v>7873474.4479999999</v>
      </c>
      <c r="B298" s="8">
        <v>522</v>
      </c>
      <c r="C298" s="10">
        <v>1111999.0889999999</v>
      </c>
      <c r="D298" s="8">
        <v>1432</v>
      </c>
    </row>
    <row r="299" spans="1:4" x14ac:dyDescent="0.2">
      <c r="A299" s="10">
        <v>8094455.5159999998</v>
      </c>
      <c r="B299" s="8">
        <v>518.5</v>
      </c>
      <c r="C299" s="10">
        <v>1165935.5090000001</v>
      </c>
      <c r="D299" s="8">
        <v>1436</v>
      </c>
    </row>
    <row r="300" spans="1:4" x14ac:dyDescent="0.2">
      <c r="A300" s="10">
        <v>8137646.0199999996</v>
      </c>
      <c r="B300" s="8">
        <v>493</v>
      </c>
      <c r="C300" s="10">
        <v>1186079.281</v>
      </c>
      <c r="D300" s="8">
        <v>1344</v>
      </c>
    </row>
    <row r="301" spans="1:4" x14ac:dyDescent="0.2">
      <c r="A301" s="10">
        <v>8243098.4749999996</v>
      </c>
      <c r="B301" s="8">
        <v>563.5</v>
      </c>
      <c r="C301" s="10">
        <v>1229068.909</v>
      </c>
      <c r="D301" s="8">
        <v>1597</v>
      </c>
    </row>
    <row r="302" spans="1:4" x14ac:dyDescent="0.2">
      <c r="A302" s="11">
        <v>8552927.9849999994</v>
      </c>
      <c r="B302" s="8">
        <v>576</v>
      </c>
      <c r="C302" s="10">
        <v>1321223.4080000001</v>
      </c>
      <c r="D302" s="8">
        <v>1586</v>
      </c>
    </row>
    <row r="303" spans="1:4" x14ac:dyDescent="0.2">
      <c r="A303" s="10">
        <v>8732436.8969999999</v>
      </c>
      <c r="B303" s="8">
        <v>594</v>
      </c>
      <c r="C303" s="10">
        <v>1405682.33</v>
      </c>
      <c r="D303" s="8">
        <v>1528</v>
      </c>
    </row>
    <row r="304" spans="1:4" x14ac:dyDescent="0.2">
      <c r="A304" s="10">
        <v>8250109.3650000002</v>
      </c>
      <c r="B304" s="8">
        <v>590.5</v>
      </c>
      <c r="C304" s="10">
        <v>1350291.027</v>
      </c>
      <c r="D304" s="8">
        <v>1778</v>
      </c>
    </row>
    <row r="305" spans="1:4" x14ac:dyDescent="0.2">
      <c r="A305" s="10">
        <v>8379468.7450000001</v>
      </c>
      <c r="B305" s="8">
        <v>597.5</v>
      </c>
      <c r="C305" s="10">
        <v>1410702.808</v>
      </c>
      <c r="D305" s="8">
        <v>1550</v>
      </c>
    </row>
    <row r="306" spans="1:4" x14ac:dyDescent="0.2">
      <c r="A306" s="10">
        <v>8705990</v>
      </c>
      <c r="B306" s="8">
        <v>616.5</v>
      </c>
      <c r="C306" s="10">
        <v>1544859</v>
      </c>
      <c r="D306" s="8">
        <v>1690</v>
      </c>
    </row>
    <row r="307" spans="1:4" x14ac:dyDescent="0.2">
      <c r="A307" s="10">
        <v>533408.48699999996</v>
      </c>
      <c r="B307" s="8">
        <v>432</v>
      </c>
      <c r="C307" s="10">
        <v>90562.327999999994</v>
      </c>
      <c r="D307" s="8">
        <v>174</v>
      </c>
    </row>
    <row r="308" spans="1:4" x14ac:dyDescent="0.2">
      <c r="A308" s="10">
        <v>485646.01299999998</v>
      </c>
      <c r="B308" s="8">
        <v>432</v>
      </c>
      <c r="C308" s="10">
        <v>84914.808000000005</v>
      </c>
      <c r="D308" s="8">
        <v>167.5</v>
      </c>
    </row>
    <row r="309" spans="1:4" x14ac:dyDescent="0.2">
      <c r="A309" s="10">
        <v>694451.80599999998</v>
      </c>
      <c r="B309" s="8">
        <v>432</v>
      </c>
      <c r="C309" s="10">
        <v>125166.103</v>
      </c>
      <c r="D309" s="8">
        <v>162</v>
      </c>
    </row>
    <row r="310" spans="1:4" x14ac:dyDescent="0.2">
      <c r="A310" s="10">
        <v>602702.9</v>
      </c>
      <c r="B310" s="8">
        <v>432</v>
      </c>
      <c r="C310" s="10">
        <v>103954.053</v>
      </c>
      <c r="D310" s="8">
        <v>174</v>
      </c>
    </row>
    <row r="311" spans="1:4" x14ac:dyDescent="0.2">
      <c r="A311" s="10">
        <v>631066.44799999997</v>
      </c>
      <c r="B311" s="8">
        <v>432</v>
      </c>
      <c r="C311" s="10">
        <v>106637.958</v>
      </c>
      <c r="D311" s="8">
        <v>178</v>
      </c>
    </row>
    <row r="312" spans="1:4" x14ac:dyDescent="0.2">
      <c r="A312" s="10">
        <v>607134.64500000002</v>
      </c>
      <c r="B312" s="8">
        <v>432</v>
      </c>
      <c r="C312" s="10">
        <v>101468.091</v>
      </c>
      <c r="D312" s="8">
        <v>203.5</v>
      </c>
    </row>
    <row r="313" spans="1:4" x14ac:dyDescent="0.2">
      <c r="A313" s="10">
        <v>627016.56099999999</v>
      </c>
      <c r="B313" s="8">
        <v>432</v>
      </c>
      <c r="C313" s="10">
        <v>105552.16099999999</v>
      </c>
      <c r="D313" s="8">
        <v>191</v>
      </c>
    </row>
    <row r="314" spans="1:4" x14ac:dyDescent="0.2">
      <c r="A314" s="10">
        <v>532162.22499999998</v>
      </c>
      <c r="B314" s="8">
        <v>432</v>
      </c>
      <c r="C314" s="10">
        <v>92400.054000000004</v>
      </c>
      <c r="D314" s="8">
        <v>162</v>
      </c>
    </row>
    <row r="315" spans="1:4" x14ac:dyDescent="0.2">
      <c r="A315" s="10">
        <v>708645</v>
      </c>
      <c r="B315" s="8">
        <v>432</v>
      </c>
      <c r="C315" s="10">
        <v>126296</v>
      </c>
      <c r="D315" s="8">
        <v>162</v>
      </c>
    </row>
    <row r="316" spans="1:4" x14ac:dyDescent="0.2">
      <c r="A316" s="10">
        <v>9890511.2540000007</v>
      </c>
      <c r="B316" s="8">
        <v>615.5</v>
      </c>
      <c r="C316" s="10">
        <v>1557289.45</v>
      </c>
      <c r="D316" s="8">
        <v>1640</v>
      </c>
    </row>
    <row r="317" spans="1:4" x14ac:dyDescent="0.2">
      <c r="A317" s="10">
        <v>9950915.1160000004</v>
      </c>
      <c r="B317" s="8">
        <v>547</v>
      </c>
      <c r="C317" s="10">
        <v>1583869.419</v>
      </c>
      <c r="D317" s="8">
        <v>1669</v>
      </c>
    </row>
    <row r="318" spans="1:4" x14ac:dyDescent="0.2">
      <c r="A318" s="10">
        <v>9906484.1740000006</v>
      </c>
      <c r="B318" s="8">
        <v>619</v>
      </c>
      <c r="C318" s="10">
        <v>1603189.1939999999</v>
      </c>
      <c r="D318" s="8">
        <v>1892</v>
      </c>
    </row>
    <row r="319" spans="1:4" x14ac:dyDescent="0.2">
      <c r="A319" s="10">
        <v>9892316.1860000007</v>
      </c>
      <c r="B319" s="8">
        <v>573.5</v>
      </c>
      <c r="C319" s="10">
        <v>1635843.513</v>
      </c>
      <c r="D319" s="8">
        <v>1881</v>
      </c>
    </row>
    <row r="320" spans="1:4" x14ac:dyDescent="0.2">
      <c r="A320" s="10">
        <v>9590559.0150000006</v>
      </c>
      <c r="B320" s="8">
        <v>624</v>
      </c>
      <c r="C320" s="10">
        <v>1614601.2220000001</v>
      </c>
      <c r="D320" s="8">
        <v>2005</v>
      </c>
    </row>
    <row r="321" spans="1:4" x14ac:dyDescent="0.2">
      <c r="A321" s="10">
        <v>9957253.1720000003</v>
      </c>
      <c r="B321" s="8">
        <v>657</v>
      </c>
      <c r="C321" s="10">
        <v>1723329.1569999999</v>
      </c>
      <c r="D321" s="8">
        <v>2025</v>
      </c>
    </row>
    <row r="322" spans="1:4" x14ac:dyDescent="0.2">
      <c r="A322" s="10">
        <v>9454228.0429999996</v>
      </c>
      <c r="B322" s="8">
        <v>608</v>
      </c>
      <c r="C322" s="10">
        <v>1685110.091</v>
      </c>
      <c r="D322" s="8">
        <v>2093</v>
      </c>
    </row>
    <row r="323" spans="1:4" x14ac:dyDescent="0.2">
      <c r="A323" s="10">
        <v>9839824.8599999994</v>
      </c>
      <c r="B323" s="8">
        <v>616</v>
      </c>
      <c r="C323" s="10">
        <v>1814291.459</v>
      </c>
      <c r="D323" s="8">
        <v>1773</v>
      </c>
    </row>
    <row r="324" spans="1:4" x14ac:dyDescent="0.2">
      <c r="A324" s="10">
        <v>9511472</v>
      </c>
      <c r="B324" s="8">
        <v>610</v>
      </c>
      <c r="C324" s="10">
        <v>1794381</v>
      </c>
      <c r="D324" s="8">
        <v>1888</v>
      </c>
    </row>
    <row r="325" spans="1:4" x14ac:dyDescent="0.2">
      <c r="A325" s="10">
        <v>3126817.0040000002</v>
      </c>
      <c r="B325" s="8">
        <v>454.5</v>
      </c>
      <c r="C325" s="10">
        <v>480889.26799999998</v>
      </c>
      <c r="D325" s="8">
        <v>660</v>
      </c>
    </row>
    <row r="326" spans="1:4" x14ac:dyDescent="0.2">
      <c r="A326" s="10">
        <v>3145983.0490000001</v>
      </c>
      <c r="B326" s="8">
        <v>437.5</v>
      </c>
      <c r="C326" s="10">
        <v>481997.62</v>
      </c>
      <c r="D326" s="8">
        <v>615</v>
      </c>
    </row>
    <row r="327" spans="1:4" x14ac:dyDescent="0.2">
      <c r="A327" s="10">
        <v>3082829.642</v>
      </c>
      <c r="B327" s="8">
        <v>454.5</v>
      </c>
      <c r="C327" s="10">
        <v>472157.50199999998</v>
      </c>
      <c r="D327" s="8">
        <v>678</v>
      </c>
    </row>
    <row r="328" spans="1:4" x14ac:dyDescent="0.2">
      <c r="A328" s="10">
        <v>3253082.6039999998</v>
      </c>
      <c r="B328" s="8">
        <v>451.5</v>
      </c>
      <c r="C328" s="10">
        <v>510956.10200000001</v>
      </c>
      <c r="D328" s="8">
        <v>432.5</v>
      </c>
    </row>
    <row r="329" spans="1:4" x14ac:dyDescent="0.2">
      <c r="A329" s="10">
        <v>3258004.642</v>
      </c>
      <c r="B329" s="8">
        <v>461</v>
      </c>
      <c r="C329" s="10">
        <v>525519.82299999997</v>
      </c>
      <c r="D329" s="8">
        <v>560</v>
      </c>
    </row>
    <row r="330" spans="1:4" x14ac:dyDescent="0.2">
      <c r="A330" s="10">
        <v>3293256.3939999999</v>
      </c>
      <c r="B330" s="8">
        <v>484.5</v>
      </c>
      <c r="C330" s="10">
        <v>538171.92200000002</v>
      </c>
      <c r="D330" s="8">
        <v>523.5</v>
      </c>
    </row>
    <row r="331" spans="1:4" x14ac:dyDescent="0.2">
      <c r="A331" s="10">
        <v>3545078.0090000001</v>
      </c>
      <c r="B331" s="8">
        <v>449</v>
      </c>
      <c r="C331" s="10">
        <v>602412.299</v>
      </c>
      <c r="D331" s="8">
        <v>571.5</v>
      </c>
    </row>
    <row r="332" spans="1:4" x14ac:dyDescent="0.2">
      <c r="A332" s="10">
        <v>3240907.236</v>
      </c>
      <c r="B332" s="8">
        <v>446</v>
      </c>
      <c r="C332" s="10">
        <v>551967.58299999998</v>
      </c>
      <c r="D332" s="8">
        <v>398</v>
      </c>
    </row>
    <row r="333" spans="1:4" x14ac:dyDescent="0.2">
      <c r="A333" s="10">
        <v>3413192</v>
      </c>
      <c r="B333" s="8">
        <v>443</v>
      </c>
      <c r="C333" s="10">
        <v>586249</v>
      </c>
      <c r="D333" s="8">
        <v>482</v>
      </c>
    </row>
    <row r="334" spans="1:4" x14ac:dyDescent="0.2">
      <c r="A334" s="10">
        <v>3208064.39</v>
      </c>
      <c r="B334" s="8">
        <v>432</v>
      </c>
      <c r="C334" s="10">
        <v>488309.08600000001</v>
      </c>
      <c r="D334" s="8">
        <v>380.5</v>
      </c>
    </row>
    <row r="335" spans="1:4" x14ac:dyDescent="0.2">
      <c r="A335" s="10">
        <v>3255895.912</v>
      </c>
      <c r="B335" s="8">
        <v>432</v>
      </c>
      <c r="C335" s="10">
        <v>508488.38799999998</v>
      </c>
      <c r="D335" s="8">
        <v>355.5</v>
      </c>
    </row>
    <row r="336" spans="1:4" x14ac:dyDescent="0.2">
      <c r="A336" s="10">
        <v>3236118.3790000002</v>
      </c>
      <c r="B336" s="8">
        <v>432</v>
      </c>
      <c r="C336" s="10">
        <v>509652.783</v>
      </c>
      <c r="D336" s="8">
        <v>336</v>
      </c>
    </row>
    <row r="337" spans="1:4" x14ac:dyDescent="0.2">
      <c r="A337" s="10">
        <v>3327550.7859999998</v>
      </c>
      <c r="B337" s="8">
        <v>432</v>
      </c>
      <c r="C337" s="10">
        <v>531074.98</v>
      </c>
      <c r="D337" s="8">
        <v>319</v>
      </c>
    </row>
    <row r="338" spans="1:4" x14ac:dyDescent="0.2">
      <c r="A338" s="10">
        <v>3336479.5720000002</v>
      </c>
      <c r="B338" s="8">
        <v>432</v>
      </c>
      <c r="C338" s="10">
        <v>558167.28099999996</v>
      </c>
      <c r="D338" s="8">
        <v>392</v>
      </c>
    </row>
    <row r="339" spans="1:4" x14ac:dyDescent="0.2">
      <c r="A339" s="11">
        <v>3348021.9279999998</v>
      </c>
      <c r="B339" s="8">
        <v>456</v>
      </c>
      <c r="C339" s="10">
        <v>583152.55700000003</v>
      </c>
      <c r="D339" s="8">
        <v>334.5</v>
      </c>
    </row>
    <row r="340" spans="1:4" x14ac:dyDescent="0.2">
      <c r="A340" s="11">
        <v>3232739.9169999999</v>
      </c>
      <c r="B340" s="8">
        <v>432</v>
      </c>
      <c r="C340" s="10">
        <v>579442.79700000002</v>
      </c>
      <c r="D340" s="8">
        <v>371.5</v>
      </c>
    </row>
    <row r="341" spans="1:4" x14ac:dyDescent="0.2">
      <c r="A341" s="10">
        <v>3385524.997</v>
      </c>
      <c r="B341" s="8">
        <v>432</v>
      </c>
      <c r="C341" s="10">
        <v>643979.06999999995</v>
      </c>
      <c r="D341" s="8">
        <v>335</v>
      </c>
    </row>
    <row r="342" spans="1:4" x14ac:dyDescent="0.2">
      <c r="A342" s="10">
        <v>3314444</v>
      </c>
      <c r="B342" s="8">
        <v>444</v>
      </c>
      <c r="C342" s="10">
        <v>637400</v>
      </c>
      <c r="D342" s="8">
        <v>464.5</v>
      </c>
    </row>
    <row r="343" spans="1:4" x14ac:dyDescent="0.2">
      <c r="A343" s="10">
        <v>10619881.873</v>
      </c>
      <c r="B343" s="8">
        <v>604</v>
      </c>
      <c r="C343" s="10">
        <v>1919363.99</v>
      </c>
      <c r="D343" s="8">
        <v>2188</v>
      </c>
    </row>
    <row r="344" spans="1:4" x14ac:dyDescent="0.2">
      <c r="A344" s="10">
        <v>10636124.482999999</v>
      </c>
      <c r="B344" s="8">
        <v>518.5</v>
      </c>
      <c r="C344" s="10">
        <v>1919785.4129999999</v>
      </c>
      <c r="D344" s="8">
        <v>2047</v>
      </c>
    </row>
    <row r="345" spans="1:4" x14ac:dyDescent="0.2">
      <c r="A345" s="10">
        <v>10609877.875</v>
      </c>
      <c r="B345" s="8">
        <v>576.5</v>
      </c>
      <c r="C345" s="10">
        <v>1922941.3540000001</v>
      </c>
      <c r="D345" s="8">
        <v>2426</v>
      </c>
    </row>
    <row r="346" spans="1:4" x14ac:dyDescent="0.2">
      <c r="A346" s="10">
        <v>10678140.99</v>
      </c>
      <c r="B346" s="8">
        <v>483</v>
      </c>
      <c r="C346" s="10">
        <v>1963042.446</v>
      </c>
      <c r="D346" s="8">
        <v>2112</v>
      </c>
    </row>
    <row r="347" spans="1:4" x14ac:dyDescent="0.2">
      <c r="A347" s="10">
        <v>10677786.370999999</v>
      </c>
      <c r="B347" s="8">
        <v>578.5</v>
      </c>
      <c r="C347" s="10">
        <v>1990010.1780000001</v>
      </c>
      <c r="D347" s="8">
        <v>2536</v>
      </c>
    </row>
    <row r="348" spans="1:4" x14ac:dyDescent="0.2">
      <c r="A348" s="10">
        <v>10559016.259</v>
      </c>
      <c r="B348" s="8">
        <v>633.5</v>
      </c>
      <c r="C348" s="10">
        <v>2012054.301</v>
      </c>
      <c r="D348" s="8">
        <v>2163</v>
      </c>
    </row>
    <row r="349" spans="1:4" x14ac:dyDescent="0.2">
      <c r="A349" s="10">
        <v>10579457.039999999</v>
      </c>
      <c r="B349" s="8">
        <v>599.5</v>
      </c>
      <c r="C349" s="10">
        <v>2045079.628</v>
      </c>
      <c r="D349" s="8">
        <v>2560</v>
      </c>
    </row>
    <row r="350" spans="1:4" x14ac:dyDescent="0.2">
      <c r="A350" s="10">
        <v>10749722.264</v>
      </c>
      <c r="B350" s="8">
        <v>549.5</v>
      </c>
      <c r="C350" s="10">
        <v>2148218.835</v>
      </c>
      <c r="D350" s="8">
        <v>2171</v>
      </c>
    </row>
    <row r="351" spans="1:4" x14ac:dyDescent="0.2">
      <c r="A351" s="10">
        <v>10664700</v>
      </c>
      <c r="B351" s="8">
        <v>592.5</v>
      </c>
      <c r="C351" s="10">
        <v>2193404</v>
      </c>
      <c r="D351" s="8">
        <v>2393</v>
      </c>
    </row>
    <row r="352" spans="1:4" x14ac:dyDescent="0.2">
      <c r="A352" s="10">
        <v>907960.36800000002</v>
      </c>
      <c r="B352" s="8">
        <v>432</v>
      </c>
      <c r="C352" s="10">
        <v>149383.14499999999</v>
      </c>
      <c r="D352" s="8">
        <v>209.5</v>
      </c>
    </row>
    <row r="353" spans="1:4" x14ac:dyDescent="0.2">
      <c r="A353" s="10">
        <v>905806.72900000005</v>
      </c>
      <c r="B353" s="8">
        <v>432</v>
      </c>
      <c r="C353" s="10">
        <v>149863.109</v>
      </c>
      <c r="D353" s="8">
        <v>221</v>
      </c>
    </row>
    <row r="354" spans="1:4" x14ac:dyDescent="0.2">
      <c r="A354" s="10">
        <v>903532.93700000003</v>
      </c>
      <c r="B354" s="8">
        <v>432</v>
      </c>
      <c r="C354" s="10">
        <v>151001.52799999999</v>
      </c>
      <c r="D354" s="8">
        <v>231.5</v>
      </c>
    </row>
    <row r="355" spans="1:4" x14ac:dyDescent="0.2">
      <c r="A355" s="11">
        <v>898907.51399999997</v>
      </c>
      <c r="B355" s="8">
        <v>432</v>
      </c>
      <c r="C355" s="11">
        <v>152633.95199999999</v>
      </c>
      <c r="D355" s="8">
        <v>179.5</v>
      </c>
    </row>
    <row r="356" spans="1:4" x14ac:dyDescent="0.2">
      <c r="A356" s="11">
        <v>897377.826999999</v>
      </c>
      <c r="B356" s="8">
        <v>432</v>
      </c>
      <c r="C356" s="11">
        <v>155903.36699999901</v>
      </c>
      <c r="D356" s="8">
        <v>210.5</v>
      </c>
    </row>
    <row r="357" spans="1:4" x14ac:dyDescent="0.2">
      <c r="A357" s="11">
        <v>892939.52099999902</v>
      </c>
      <c r="B357" s="8">
        <v>432</v>
      </c>
      <c r="C357" s="10">
        <v>158893.87599999999</v>
      </c>
      <c r="D357" s="8">
        <v>200</v>
      </c>
    </row>
    <row r="358" spans="1:4" x14ac:dyDescent="0.2">
      <c r="A358" s="10">
        <v>959634.02899999998</v>
      </c>
      <c r="B358" s="8">
        <v>432</v>
      </c>
      <c r="C358" s="10">
        <v>177165.527</v>
      </c>
      <c r="D358" s="8">
        <v>256.5</v>
      </c>
    </row>
    <row r="359" spans="1:4" x14ac:dyDescent="0.2">
      <c r="A359" s="11">
        <v>888786.67899999896</v>
      </c>
      <c r="B359" s="8">
        <v>432</v>
      </c>
      <c r="C359" s="10">
        <v>165583.04000000001</v>
      </c>
      <c r="D359" s="8">
        <v>174</v>
      </c>
    </row>
    <row r="360" spans="1:4" x14ac:dyDescent="0.2">
      <c r="A360" s="10">
        <v>885994</v>
      </c>
      <c r="B360" s="8">
        <v>432</v>
      </c>
      <c r="C360" s="10">
        <v>170144</v>
      </c>
      <c r="D360" s="8">
        <v>214</v>
      </c>
    </row>
    <row r="361" spans="1:4" x14ac:dyDescent="0.2">
      <c r="A361" s="10">
        <v>3810033.8420000002</v>
      </c>
      <c r="B361" s="8">
        <v>445</v>
      </c>
      <c r="C361" s="10">
        <v>575792.90800000005</v>
      </c>
      <c r="D361" s="8">
        <v>576</v>
      </c>
    </row>
    <row r="362" spans="1:4" x14ac:dyDescent="0.2">
      <c r="A362" s="10">
        <v>4177094.2370000002</v>
      </c>
      <c r="B362" s="8">
        <v>432</v>
      </c>
      <c r="C362" s="10">
        <v>639194.924</v>
      </c>
      <c r="D362" s="8">
        <v>607.5</v>
      </c>
    </row>
    <row r="363" spans="1:4" x14ac:dyDescent="0.2">
      <c r="A363" s="10">
        <v>3880041.4079999998</v>
      </c>
      <c r="B363" s="8">
        <v>437.5</v>
      </c>
      <c r="C363" s="10">
        <v>604118.67700000003</v>
      </c>
      <c r="D363" s="8">
        <v>618</v>
      </c>
    </row>
    <row r="364" spans="1:4" x14ac:dyDescent="0.2">
      <c r="A364" s="10">
        <v>3993140.11</v>
      </c>
      <c r="B364" s="8">
        <v>448</v>
      </c>
      <c r="C364" s="10">
        <v>641779.55900000001</v>
      </c>
      <c r="D364" s="8">
        <v>573.5</v>
      </c>
    </row>
    <row r="365" spans="1:4" x14ac:dyDescent="0.2">
      <c r="A365" s="10">
        <v>3984125.483</v>
      </c>
      <c r="B365" s="8">
        <v>444.5</v>
      </c>
      <c r="C365" s="10">
        <v>659818.402</v>
      </c>
      <c r="D365" s="8">
        <v>578</v>
      </c>
    </row>
    <row r="366" spans="1:4" x14ac:dyDescent="0.2">
      <c r="A366" s="10">
        <v>4028025.9539999999</v>
      </c>
      <c r="B366" s="8">
        <v>472</v>
      </c>
      <c r="C366" s="10">
        <v>698412.38899999997</v>
      </c>
      <c r="D366" s="8">
        <v>544.5</v>
      </c>
    </row>
    <row r="367" spans="1:4" x14ac:dyDescent="0.2">
      <c r="A367" s="10">
        <v>3926476.7889999999</v>
      </c>
      <c r="B367" s="8">
        <v>452.5</v>
      </c>
      <c r="C367" s="10">
        <v>705285.17799999996</v>
      </c>
      <c r="D367" s="8">
        <v>683</v>
      </c>
    </row>
    <row r="368" spans="1:4" x14ac:dyDescent="0.2">
      <c r="A368" s="10">
        <v>4138667.0950000002</v>
      </c>
      <c r="B368" s="8">
        <v>463.5</v>
      </c>
      <c r="C368" s="10">
        <v>786816.49100000004</v>
      </c>
      <c r="D368" s="8">
        <v>510.5</v>
      </c>
    </row>
    <row r="369" spans="1:4" x14ac:dyDescent="0.2">
      <c r="A369" s="10">
        <v>4041857</v>
      </c>
      <c r="B369" s="8">
        <v>449.5</v>
      </c>
      <c r="C369" s="10">
        <v>780377</v>
      </c>
      <c r="D369" s="8">
        <v>566</v>
      </c>
    </row>
    <row r="370" spans="1:4" x14ac:dyDescent="0.2">
      <c r="A370" s="10">
        <v>674255.81299999997</v>
      </c>
      <c r="B370" s="8">
        <v>432</v>
      </c>
      <c r="C370" s="10">
        <v>112907.211</v>
      </c>
      <c r="D370" s="8">
        <v>178.5</v>
      </c>
    </row>
    <row r="371" spans="1:4" x14ac:dyDescent="0.2">
      <c r="A371" s="10">
        <v>637016.44799999997</v>
      </c>
      <c r="B371" s="8">
        <v>432</v>
      </c>
      <c r="C371" s="10">
        <v>104586.02800000001</v>
      </c>
      <c r="D371" s="8">
        <v>191</v>
      </c>
    </row>
    <row r="372" spans="1:4" x14ac:dyDescent="0.2">
      <c r="A372" s="10">
        <v>728504.08299999998</v>
      </c>
      <c r="B372" s="8">
        <v>432</v>
      </c>
      <c r="C372" s="10">
        <v>119535.86</v>
      </c>
      <c r="D372" s="8">
        <v>188.5</v>
      </c>
    </row>
    <row r="373" spans="1:4" x14ac:dyDescent="0.2">
      <c r="A373" s="10">
        <v>680070.87600000005</v>
      </c>
      <c r="B373" s="8">
        <v>432</v>
      </c>
      <c r="C373" s="10">
        <v>118608.046</v>
      </c>
      <c r="D373" s="8">
        <v>209.5</v>
      </c>
    </row>
    <row r="374" spans="1:4" x14ac:dyDescent="0.2">
      <c r="A374" s="10">
        <v>657098.84900000005</v>
      </c>
      <c r="B374" s="8">
        <v>432</v>
      </c>
      <c r="C374" s="10">
        <v>116375.47</v>
      </c>
      <c r="D374" s="8">
        <v>211</v>
      </c>
    </row>
    <row r="375" spans="1:4" x14ac:dyDescent="0.2">
      <c r="A375" s="10">
        <v>604791.277</v>
      </c>
      <c r="B375" s="8">
        <v>432</v>
      </c>
      <c r="C375" s="10">
        <v>106730.216</v>
      </c>
      <c r="D375" s="8">
        <v>204</v>
      </c>
    </row>
    <row r="376" spans="1:4" x14ac:dyDescent="0.2">
      <c r="A376" s="10">
        <v>555207.06900000002</v>
      </c>
      <c r="B376" s="8">
        <v>432</v>
      </c>
      <c r="C376" s="10">
        <v>102343.158</v>
      </c>
      <c r="D376" s="8">
        <v>221.5</v>
      </c>
    </row>
    <row r="377" spans="1:4" x14ac:dyDescent="0.2">
      <c r="A377" s="10">
        <v>650984.90099999995</v>
      </c>
      <c r="B377" s="8">
        <v>432</v>
      </c>
      <c r="C377" s="10">
        <v>117120.72</v>
      </c>
      <c r="D377" s="8">
        <v>205</v>
      </c>
    </row>
    <row r="378" spans="1:4" x14ac:dyDescent="0.2">
      <c r="A378" s="10">
        <v>751124</v>
      </c>
      <c r="B378" s="8">
        <v>432</v>
      </c>
      <c r="C378" s="10">
        <v>141579</v>
      </c>
      <c r="D378" s="8">
        <v>203.5</v>
      </c>
    </row>
    <row r="379" spans="1:4" x14ac:dyDescent="0.2">
      <c r="A379" s="10">
        <v>5273050.5480000004</v>
      </c>
      <c r="B379" s="8">
        <v>511.5</v>
      </c>
      <c r="C379" s="10">
        <v>783543.45</v>
      </c>
      <c r="D379" s="8">
        <v>1096</v>
      </c>
    </row>
    <row r="380" spans="1:4" x14ac:dyDescent="0.2">
      <c r="A380" s="10">
        <v>5448611.767</v>
      </c>
      <c r="B380" s="8">
        <v>501.5</v>
      </c>
      <c r="C380" s="11">
        <v>820093.98399999901</v>
      </c>
      <c r="D380" s="8">
        <v>1117</v>
      </c>
    </row>
    <row r="381" spans="1:4" x14ac:dyDescent="0.2">
      <c r="A381" s="10">
        <v>5499893.1050000004</v>
      </c>
      <c r="B381" s="8">
        <v>510</v>
      </c>
      <c r="C381" s="10">
        <v>841051.15800000005</v>
      </c>
      <c r="D381" s="8">
        <v>1192</v>
      </c>
    </row>
    <row r="382" spans="1:4" x14ac:dyDescent="0.2">
      <c r="A382" s="10">
        <v>5478639.1390000004</v>
      </c>
      <c r="B382" s="8">
        <v>492.5</v>
      </c>
      <c r="C382" s="10">
        <v>855101.16799999995</v>
      </c>
      <c r="D382" s="8">
        <v>1200.5</v>
      </c>
    </row>
    <row r="383" spans="1:4" x14ac:dyDescent="0.2">
      <c r="A383" s="10">
        <v>5333662.03</v>
      </c>
      <c r="B383" s="8">
        <v>553.5</v>
      </c>
      <c r="C383" s="10">
        <v>851371.10900000005</v>
      </c>
      <c r="D383" s="8">
        <v>1259.5</v>
      </c>
    </row>
    <row r="384" spans="1:4" x14ac:dyDescent="0.2">
      <c r="A384" s="10">
        <v>5573486.1720000003</v>
      </c>
      <c r="B384" s="8">
        <v>606</v>
      </c>
      <c r="C384" s="10">
        <v>941353.09600000002</v>
      </c>
      <c r="D384" s="8">
        <v>1248</v>
      </c>
    </row>
    <row r="385" spans="1:4" x14ac:dyDescent="0.2">
      <c r="A385" s="10">
        <v>5523778.5659999996</v>
      </c>
      <c r="B385" s="8">
        <v>512.5</v>
      </c>
      <c r="C385" s="10">
        <v>943368.57900000003</v>
      </c>
      <c r="D385" s="8">
        <v>1438</v>
      </c>
    </row>
    <row r="386" spans="1:4" x14ac:dyDescent="0.2">
      <c r="A386" s="10">
        <v>5401991.0219999999</v>
      </c>
      <c r="B386" s="8">
        <v>584</v>
      </c>
      <c r="C386" s="10">
        <v>948740.46299999999</v>
      </c>
      <c r="D386" s="8">
        <v>1212</v>
      </c>
    </row>
    <row r="387" spans="1:4" x14ac:dyDescent="0.2">
      <c r="A387" s="10">
        <v>5830419</v>
      </c>
      <c r="B387" s="8">
        <v>574</v>
      </c>
      <c r="C387" s="10">
        <v>1059400</v>
      </c>
      <c r="D387" s="8">
        <v>1321</v>
      </c>
    </row>
    <row r="388" spans="1:4" x14ac:dyDescent="0.2">
      <c r="A388" s="10">
        <v>21345772.894000001</v>
      </c>
      <c r="B388" s="8">
        <v>953</v>
      </c>
      <c r="C388" s="10">
        <v>2387470.173</v>
      </c>
      <c r="D388" s="8">
        <v>2512</v>
      </c>
    </row>
    <row r="389" spans="1:4" x14ac:dyDescent="0.2">
      <c r="A389" s="10">
        <v>21722938.109999999</v>
      </c>
      <c r="B389" s="8">
        <v>752</v>
      </c>
      <c r="C389" s="10">
        <v>2452203.9920000001</v>
      </c>
      <c r="D389" s="8">
        <v>2435</v>
      </c>
    </row>
    <row r="390" spans="1:4" x14ac:dyDescent="0.2">
      <c r="A390" s="10">
        <v>22261168.467</v>
      </c>
      <c r="B390" s="8">
        <v>746</v>
      </c>
      <c r="C390" s="10">
        <v>2553924.554</v>
      </c>
      <c r="D390" s="8">
        <v>2473</v>
      </c>
    </row>
    <row r="391" spans="1:4" x14ac:dyDescent="0.2">
      <c r="A391" s="10">
        <v>22418314.243999999</v>
      </c>
      <c r="B391" s="8">
        <v>722</v>
      </c>
      <c r="C391" s="10">
        <v>2621859.8339999998</v>
      </c>
      <c r="D391" s="8">
        <v>2435</v>
      </c>
    </row>
    <row r="392" spans="1:4" x14ac:dyDescent="0.2">
      <c r="A392" s="10">
        <v>22931124.396000002</v>
      </c>
      <c r="B392" s="8">
        <v>915.5</v>
      </c>
      <c r="C392" s="10">
        <v>2749728.7420000001</v>
      </c>
      <c r="D392" s="8">
        <v>2608</v>
      </c>
    </row>
    <row r="393" spans="1:4" x14ac:dyDescent="0.2">
      <c r="A393" s="10">
        <v>23179467.25</v>
      </c>
      <c r="B393" s="8">
        <v>1074</v>
      </c>
      <c r="C393" s="10">
        <v>2839398.5290000001</v>
      </c>
      <c r="D393" s="8">
        <v>2552</v>
      </c>
    </row>
    <row r="394" spans="1:4" x14ac:dyDescent="0.2">
      <c r="A394" s="10">
        <v>23152747.535</v>
      </c>
      <c r="B394" s="8">
        <v>814.5</v>
      </c>
      <c r="C394" s="10">
        <v>2910457.787</v>
      </c>
      <c r="D394" s="8">
        <v>2575</v>
      </c>
    </row>
    <row r="395" spans="1:4" x14ac:dyDescent="0.2">
      <c r="A395" s="10">
        <v>23495362.302999999</v>
      </c>
      <c r="B395" s="8">
        <v>776</v>
      </c>
      <c r="C395" s="10">
        <v>3049051.0619999999</v>
      </c>
      <c r="D395" s="8">
        <v>2260</v>
      </c>
    </row>
    <row r="396" spans="1:4" x14ac:dyDescent="0.2">
      <c r="A396" s="10">
        <v>23960848</v>
      </c>
      <c r="B396" s="8">
        <v>827</v>
      </c>
      <c r="C396" s="10">
        <v>3207022</v>
      </c>
      <c r="D396" s="8">
        <v>2290</v>
      </c>
    </row>
    <row r="397" spans="1:4" x14ac:dyDescent="0.2">
      <c r="A397" s="10">
        <v>2402324.6940000001</v>
      </c>
      <c r="B397" s="8">
        <v>432</v>
      </c>
      <c r="C397" s="10">
        <v>231879.217</v>
      </c>
      <c r="D397" s="8">
        <v>237</v>
      </c>
    </row>
    <row r="398" spans="1:4" x14ac:dyDescent="0.2">
      <c r="A398" s="10">
        <v>2429353.3480000002</v>
      </c>
      <c r="B398" s="8">
        <v>432</v>
      </c>
      <c r="C398" s="10">
        <v>236647.35200000001</v>
      </c>
      <c r="D398" s="8">
        <v>281</v>
      </c>
    </row>
    <row r="399" spans="1:4" x14ac:dyDescent="0.2">
      <c r="A399" s="10">
        <v>2431211.0449999999</v>
      </c>
      <c r="B399" s="8">
        <v>432</v>
      </c>
      <c r="C399" s="10">
        <v>243691.68299999999</v>
      </c>
      <c r="D399" s="8">
        <v>284</v>
      </c>
    </row>
    <row r="400" spans="1:4" x14ac:dyDescent="0.2">
      <c r="A400" s="10">
        <v>2518152.1579999998</v>
      </c>
      <c r="B400" s="8">
        <v>432</v>
      </c>
      <c r="C400" s="11">
        <v>253161.978</v>
      </c>
      <c r="D400" s="8">
        <v>269.5</v>
      </c>
    </row>
    <row r="401" spans="1:4" x14ac:dyDescent="0.2">
      <c r="A401" s="10">
        <v>2651498.8480000002</v>
      </c>
      <c r="B401" s="8">
        <v>432</v>
      </c>
      <c r="C401" s="10">
        <v>287139.06199999998</v>
      </c>
      <c r="D401" s="8">
        <v>333.5</v>
      </c>
    </row>
    <row r="402" spans="1:4" x14ac:dyDescent="0.2">
      <c r="A402" s="10">
        <v>2557761.085</v>
      </c>
      <c r="B402" s="8">
        <v>432</v>
      </c>
      <c r="C402" s="10">
        <v>275476.277</v>
      </c>
      <c r="D402" s="8">
        <v>289.5</v>
      </c>
    </row>
    <row r="403" spans="1:4" x14ac:dyDescent="0.2">
      <c r="A403" s="10">
        <v>2619158.841</v>
      </c>
      <c r="B403" s="8">
        <v>432</v>
      </c>
      <c r="C403" s="10">
        <v>287988.467</v>
      </c>
      <c r="D403" s="8">
        <v>287</v>
      </c>
    </row>
    <row r="404" spans="1:4" x14ac:dyDescent="0.2">
      <c r="A404" s="10">
        <v>2623298.6120000002</v>
      </c>
      <c r="B404" s="8">
        <v>432</v>
      </c>
      <c r="C404" s="10">
        <v>296775.47899999999</v>
      </c>
      <c r="D404" s="8">
        <v>291</v>
      </c>
    </row>
    <row r="405" spans="1:4" x14ac:dyDescent="0.2">
      <c r="A405" s="10">
        <v>2675986</v>
      </c>
      <c r="B405" s="8">
        <v>432</v>
      </c>
      <c r="C405" s="10">
        <v>313983</v>
      </c>
      <c r="D405" s="8">
        <v>239.5</v>
      </c>
    </row>
    <row r="406" spans="1:4" x14ac:dyDescent="0.2">
      <c r="A406" s="10">
        <v>535329.5</v>
      </c>
      <c r="B406" s="8">
        <v>432</v>
      </c>
      <c r="C406" s="10">
        <v>85495.759000000005</v>
      </c>
      <c r="D406" s="8">
        <v>162</v>
      </c>
    </row>
    <row r="407" spans="1:4" x14ac:dyDescent="0.2">
      <c r="A407" s="10">
        <v>493227.74300000002</v>
      </c>
      <c r="B407" s="8">
        <v>432</v>
      </c>
      <c r="C407" s="11">
        <v>80000.305999999997</v>
      </c>
      <c r="D407" s="8">
        <v>162</v>
      </c>
    </row>
    <row r="408" spans="1:4" x14ac:dyDescent="0.2">
      <c r="A408" s="10">
        <v>591007.071</v>
      </c>
      <c r="B408" s="8">
        <v>432</v>
      </c>
      <c r="C408" s="10">
        <v>99758.611999999994</v>
      </c>
      <c r="D408" s="8">
        <v>162</v>
      </c>
    </row>
    <row r="409" spans="1:4" x14ac:dyDescent="0.2">
      <c r="A409" s="10">
        <v>552876.91899999999</v>
      </c>
      <c r="B409" s="8">
        <v>432</v>
      </c>
      <c r="C409" s="10">
        <v>95091.854999999996</v>
      </c>
      <c r="D409" s="8">
        <v>162</v>
      </c>
    </row>
    <row r="410" spans="1:4" x14ac:dyDescent="0.2">
      <c r="A410" s="10">
        <v>475083.99800000002</v>
      </c>
      <c r="B410" s="8">
        <v>432</v>
      </c>
      <c r="C410" s="11">
        <v>83027.618999999904</v>
      </c>
      <c r="D410" s="8">
        <v>162</v>
      </c>
    </row>
    <row r="411" spans="1:4" x14ac:dyDescent="0.2">
      <c r="A411" s="10">
        <v>430813.02399999998</v>
      </c>
      <c r="B411" s="8">
        <v>432</v>
      </c>
      <c r="C411" s="10">
        <v>78257.342999999993</v>
      </c>
      <c r="D411" s="8">
        <v>162</v>
      </c>
    </row>
    <row r="412" spans="1:4" x14ac:dyDescent="0.2">
      <c r="A412" s="10">
        <v>625689.88800000004</v>
      </c>
      <c r="B412" s="8">
        <v>432</v>
      </c>
      <c r="C412" s="10">
        <v>120384.09</v>
      </c>
      <c r="D412" s="8">
        <v>177.5</v>
      </c>
    </row>
    <row r="413" spans="1:4" x14ac:dyDescent="0.2">
      <c r="A413" s="10">
        <v>460502.19199999998</v>
      </c>
      <c r="B413" s="8">
        <v>432</v>
      </c>
      <c r="C413" s="10">
        <v>95052.504000000001</v>
      </c>
      <c r="D413" s="8">
        <v>162</v>
      </c>
    </row>
    <row r="414" spans="1:4" x14ac:dyDescent="0.2">
      <c r="A414" s="10">
        <v>541891</v>
      </c>
      <c r="B414" s="8">
        <v>432</v>
      </c>
      <c r="C414" s="10">
        <v>115576</v>
      </c>
      <c r="D414" s="8">
        <v>162</v>
      </c>
    </row>
    <row r="415" spans="1:4" x14ac:dyDescent="0.2">
      <c r="A415" s="11">
        <v>6785522.5549999997</v>
      </c>
      <c r="B415" s="8">
        <v>458</v>
      </c>
      <c r="C415" s="10">
        <v>900528.424</v>
      </c>
      <c r="D415" s="8">
        <v>1029</v>
      </c>
    </row>
    <row r="416" spans="1:4" x14ac:dyDescent="0.2">
      <c r="A416" s="10">
        <v>6682056.1689999998</v>
      </c>
      <c r="B416" s="8">
        <v>432</v>
      </c>
      <c r="C416" s="10">
        <v>889388.50399999996</v>
      </c>
      <c r="D416" s="8">
        <v>1041</v>
      </c>
    </row>
    <row r="417" spans="1:4" x14ac:dyDescent="0.2">
      <c r="A417" s="10">
        <v>6963120.5480000004</v>
      </c>
      <c r="B417" s="8">
        <v>481.5</v>
      </c>
      <c r="C417" s="10">
        <v>950665.41700000002</v>
      </c>
      <c r="D417" s="8">
        <v>1204</v>
      </c>
    </row>
    <row r="418" spans="1:4" x14ac:dyDescent="0.2">
      <c r="A418" s="10">
        <v>6695031.3150000004</v>
      </c>
      <c r="B418" s="8">
        <v>443</v>
      </c>
      <c r="C418" s="10">
        <v>929517.84299999999</v>
      </c>
      <c r="D418" s="8">
        <v>1109.5</v>
      </c>
    </row>
    <row r="419" spans="1:4" x14ac:dyDescent="0.2">
      <c r="A419" s="11">
        <v>7061020.61499999</v>
      </c>
      <c r="B419" s="8">
        <v>460</v>
      </c>
      <c r="C419" s="10">
        <v>1016807.202</v>
      </c>
      <c r="D419" s="8">
        <v>1230.5</v>
      </c>
    </row>
    <row r="420" spans="1:4" x14ac:dyDescent="0.2">
      <c r="A420" s="10">
        <v>7060661.6969999997</v>
      </c>
      <c r="B420" s="8">
        <v>526.5</v>
      </c>
      <c r="C420" s="10">
        <v>1052549.0859999999</v>
      </c>
      <c r="D420" s="8">
        <v>1229</v>
      </c>
    </row>
    <row r="421" spans="1:4" x14ac:dyDescent="0.2">
      <c r="A421" s="10">
        <v>7218650.0130000003</v>
      </c>
      <c r="B421" s="8">
        <v>497</v>
      </c>
      <c r="C421" s="10">
        <v>1107706.7150000001</v>
      </c>
      <c r="D421" s="8">
        <v>1206</v>
      </c>
    </row>
    <row r="422" spans="1:4" x14ac:dyDescent="0.2">
      <c r="A422" s="10">
        <v>7068644.6059999997</v>
      </c>
      <c r="B422" s="8">
        <v>485</v>
      </c>
      <c r="C422" s="10">
        <v>1109988.719</v>
      </c>
      <c r="D422" s="8">
        <v>982</v>
      </c>
    </row>
    <row r="423" spans="1:4" x14ac:dyDescent="0.2">
      <c r="A423" s="10">
        <v>7073007</v>
      </c>
      <c r="B423" s="8">
        <v>490</v>
      </c>
      <c r="C423" s="10">
        <v>1152455</v>
      </c>
      <c r="D423" s="8">
        <v>1036</v>
      </c>
    </row>
    <row r="424" spans="1:4" x14ac:dyDescent="0.2">
      <c r="A424" s="10">
        <v>5704893.8650000002</v>
      </c>
      <c r="B424" s="8">
        <v>470</v>
      </c>
      <c r="C424" s="11">
        <v>758541.45</v>
      </c>
      <c r="D424" s="8">
        <v>544</v>
      </c>
    </row>
    <row r="425" spans="1:4" x14ac:dyDescent="0.2">
      <c r="A425" s="10">
        <v>5763370.0140000004</v>
      </c>
      <c r="B425" s="8">
        <v>438.5</v>
      </c>
      <c r="C425" s="10">
        <v>775931.86800000002</v>
      </c>
      <c r="D425" s="8">
        <v>472</v>
      </c>
    </row>
    <row r="426" spans="1:4" x14ac:dyDescent="0.2">
      <c r="A426" s="10">
        <v>5823987.8039999995</v>
      </c>
      <c r="B426" s="8">
        <v>439.5</v>
      </c>
      <c r="C426" s="10">
        <v>804861.67200000002</v>
      </c>
      <c r="D426" s="8">
        <v>614</v>
      </c>
    </row>
    <row r="427" spans="1:4" x14ac:dyDescent="0.2">
      <c r="A427" s="10">
        <v>5924506.1109999996</v>
      </c>
      <c r="B427" s="8">
        <v>432</v>
      </c>
      <c r="C427" s="10">
        <v>841912.96900000004</v>
      </c>
      <c r="D427" s="8">
        <v>579.5</v>
      </c>
    </row>
    <row r="428" spans="1:4" x14ac:dyDescent="0.2">
      <c r="A428" s="10">
        <v>5915486.4440000001</v>
      </c>
      <c r="B428" s="8">
        <v>437.5</v>
      </c>
      <c r="C428" s="10">
        <v>862116.53399999999</v>
      </c>
      <c r="D428" s="8">
        <v>650</v>
      </c>
    </row>
    <row r="429" spans="1:4" x14ac:dyDescent="0.2">
      <c r="A429" s="10">
        <v>6020208.5029999996</v>
      </c>
      <c r="B429" s="8">
        <v>469</v>
      </c>
      <c r="C429" s="10">
        <v>913309.57799999998</v>
      </c>
      <c r="D429" s="8">
        <v>558.5</v>
      </c>
    </row>
    <row r="430" spans="1:4" x14ac:dyDescent="0.2">
      <c r="A430" s="11">
        <v>6008148.0289999899</v>
      </c>
      <c r="B430" s="8">
        <v>432</v>
      </c>
      <c r="C430" s="10">
        <v>937088.83900000004</v>
      </c>
      <c r="D430" s="8">
        <v>711.5</v>
      </c>
    </row>
    <row r="431" spans="1:4" x14ac:dyDescent="0.2">
      <c r="A431" s="11">
        <v>6028936.4989999998</v>
      </c>
      <c r="B431" s="8">
        <v>457.5</v>
      </c>
      <c r="C431" s="10">
        <v>973904.46600000001</v>
      </c>
      <c r="D431" s="8">
        <v>644.5</v>
      </c>
    </row>
    <row r="432" spans="1:4" x14ac:dyDescent="0.2">
      <c r="A432" s="10">
        <v>6081809</v>
      </c>
      <c r="B432" s="8">
        <v>466</v>
      </c>
      <c r="C432" s="10">
        <v>1018265</v>
      </c>
      <c r="D432" s="8">
        <v>868.5</v>
      </c>
    </row>
    <row r="433" spans="1:4" x14ac:dyDescent="0.2">
      <c r="A433" s="10">
        <v>1496621.3</v>
      </c>
      <c r="B433" s="8">
        <v>437.5</v>
      </c>
      <c r="C433" s="10">
        <v>275638.61</v>
      </c>
      <c r="D433" s="8">
        <v>350</v>
      </c>
    </row>
    <row r="434" spans="1:4" x14ac:dyDescent="0.2">
      <c r="A434" s="10">
        <v>1584657.35</v>
      </c>
      <c r="B434" s="8">
        <v>432</v>
      </c>
      <c r="C434" s="10">
        <v>296625.74300000002</v>
      </c>
      <c r="D434" s="8">
        <v>361.5</v>
      </c>
    </row>
    <row r="435" spans="1:4" x14ac:dyDescent="0.2">
      <c r="A435" s="10">
        <v>1523606.7690000001</v>
      </c>
      <c r="B435" s="8">
        <v>432</v>
      </c>
      <c r="C435" s="10">
        <v>289754.25199999998</v>
      </c>
      <c r="D435" s="8">
        <v>338</v>
      </c>
    </row>
    <row r="436" spans="1:4" x14ac:dyDescent="0.2">
      <c r="A436" s="10">
        <v>1500173.53</v>
      </c>
      <c r="B436" s="8">
        <v>432</v>
      </c>
      <c r="C436" s="10">
        <v>284746.23</v>
      </c>
      <c r="D436" s="8">
        <v>344.5</v>
      </c>
    </row>
    <row r="437" spans="1:4" x14ac:dyDescent="0.2">
      <c r="A437" s="10">
        <v>1561995.48</v>
      </c>
      <c r="B437" s="8">
        <v>432</v>
      </c>
      <c r="C437" s="10">
        <v>304333.201</v>
      </c>
      <c r="D437" s="8">
        <v>396</v>
      </c>
    </row>
    <row r="438" spans="1:4" x14ac:dyDescent="0.2">
      <c r="A438" s="10">
        <v>1596866.8770000001</v>
      </c>
      <c r="B438" s="8">
        <v>446</v>
      </c>
      <c r="C438" s="10">
        <v>324603.81900000002</v>
      </c>
      <c r="D438" s="8">
        <v>344</v>
      </c>
    </row>
    <row r="439" spans="1:4" x14ac:dyDescent="0.2">
      <c r="A439" s="10">
        <v>1391975.5090000001</v>
      </c>
      <c r="B439" s="8">
        <v>432</v>
      </c>
      <c r="C439" s="10">
        <v>284960.43800000002</v>
      </c>
      <c r="D439" s="8">
        <v>408</v>
      </c>
    </row>
    <row r="440" spans="1:4" x14ac:dyDescent="0.2">
      <c r="A440" s="10">
        <v>1504637.09</v>
      </c>
      <c r="B440" s="8">
        <v>432</v>
      </c>
      <c r="C440" s="10">
        <v>319091.33299999998</v>
      </c>
      <c r="D440" s="8">
        <v>306</v>
      </c>
    </row>
    <row r="441" spans="1:4" x14ac:dyDescent="0.2">
      <c r="A441" s="10">
        <v>1454121</v>
      </c>
      <c r="B441" s="8">
        <v>432</v>
      </c>
      <c r="C441" s="10">
        <v>323498</v>
      </c>
      <c r="D441" s="8">
        <v>366</v>
      </c>
    </row>
    <row r="442" spans="1:4" x14ac:dyDescent="0.2">
      <c r="A442" s="10">
        <v>4861613.8310000002</v>
      </c>
      <c r="B442" s="8">
        <v>445</v>
      </c>
      <c r="C442" s="11">
        <v>739565.81499999994</v>
      </c>
      <c r="D442" s="8">
        <v>818</v>
      </c>
    </row>
    <row r="443" spans="1:4" x14ac:dyDescent="0.2">
      <c r="A443" s="10">
        <v>4854590.2450000001</v>
      </c>
      <c r="B443" s="8">
        <v>432</v>
      </c>
      <c r="C443" s="10">
        <v>745451.95900000003</v>
      </c>
      <c r="D443" s="8">
        <v>780</v>
      </c>
    </row>
    <row r="444" spans="1:4" x14ac:dyDescent="0.2">
      <c r="A444" s="10">
        <v>4716640.6969999997</v>
      </c>
      <c r="B444" s="8">
        <v>432</v>
      </c>
      <c r="C444" s="10">
        <v>733838.22600000002</v>
      </c>
      <c r="D444" s="8">
        <v>846.5</v>
      </c>
    </row>
    <row r="445" spans="1:4" x14ac:dyDescent="0.2">
      <c r="A445" s="11">
        <v>5148452.5939999996</v>
      </c>
      <c r="B445" s="8">
        <v>432</v>
      </c>
      <c r="C445" s="10">
        <v>822207.87100000004</v>
      </c>
      <c r="D445" s="8">
        <v>880.5</v>
      </c>
    </row>
    <row r="446" spans="1:4" x14ac:dyDescent="0.2">
      <c r="A446" s="10">
        <v>4820598.8480000002</v>
      </c>
      <c r="B446" s="8">
        <v>447</v>
      </c>
      <c r="C446" s="10">
        <v>778259.40899999999</v>
      </c>
      <c r="D446" s="8">
        <v>976</v>
      </c>
    </row>
    <row r="447" spans="1:4" x14ac:dyDescent="0.2">
      <c r="A447" s="10">
        <v>4866136.216</v>
      </c>
      <c r="B447" s="8">
        <v>458</v>
      </c>
      <c r="C447" s="10">
        <v>814281.804</v>
      </c>
      <c r="D447" s="8">
        <v>837.5</v>
      </c>
    </row>
    <row r="448" spans="1:4" x14ac:dyDescent="0.2">
      <c r="A448" s="10">
        <v>4865067.37</v>
      </c>
      <c r="B448" s="8">
        <v>432</v>
      </c>
      <c r="C448" s="10">
        <v>839462.97600000002</v>
      </c>
      <c r="D448" s="8">
        <v>925.5</v>
      </c>
    </row>
    <row r="449" spans="1:4" x14ac:dyDescent="0.2">
      <c r="A449" s="10">
        <v>4838087.54</v>
      </c>
      <c r="B449" s="8">
        <v>458</v>
      </c>
      <c r="C449" s="10">
        <v>854782.946</v>
      </c>
      <c r="D449" s="8">
        <v>714.5</v>
      </c>
    </row>
    <row r="450" spans="1:4" x14ac:dyDescent="0.2">
      <c r="A450" s="10">
        <v>4923416</v>
      </c>
      <c r="B450" s="8">
        <v>446</v>
      </c>
      <c r="C450" s="10">
        <v>908759</v>
      </c>
      <c r="D450" s="8">
        <v>833</v>
      </c>
    </row>
    <row r="451" spans="1:4" x14ac:dyDescent="0.2">
      <c r="A451" s="10">
        <v>457102.01400000002</v>
      </c>
      <c r="B451" s="8">
        <v>432</v>
      </c>
      <c r="C451" s="10">
        <v>62485.84</v>
      </c>
      <c r="D451" s="8">
        <v>167.5</v>
      </c>
    </row>
    <row r="452" spans="1:4" x14ac:dyDescent="0.2">
      <c r="A452" s="11">
        <v>525307.34</v>
      </c>
      <c r="B452" s="8">
        <v>432</v>
      </c>
      <c r="C452" s="10">
        <v>75192.448000000004</v>
      </c>
      <c r="D452" s="8">
        <v>167.5</v>
      </c>
    </row>
    <row r="453" spans="1:4" x14ac:dyDescent="0.2">
      <c r="A453" s="10">
        <v>557582.93900000001</v>
      </c>
      <c r="B453" s="8">
        <v>432</v>
      </c>
      <c r="C453" s="10">
        <v>76423.271999999997</v>
      </c>
      <c r="D453" s="8">
        <v>175</v>
      </c>
    </row>
    <row r="454" spans="1:4" x14ac:dyDescent="0.2">
      <c r="A454" s="10">
        <v>623814.67299999995</v>
      </c>
      <c r="B454" s="8">
        <v>432</v>
      </c>
      <c r="C454" s="10">
        <v>93382.505999999994</v>
      </c>
      <c r="D454" s="8">
        <v>162</v>
      </c>
    </row>
    <row r="455" spans="1:4" x14ac:dyDescent="0.2">
      <c r="A455" s="10">
        <v>493838.82900000003</v>
      </c>
      <c r="B455" s="8">
        <v>432</v>
      </c>
      <c r="C455" s="10">
        <v>73029.857000000004</v>
      </c>
      <c r="D455" s="8">
        <v>169.5</v>
      </c>
    </row>
    <row r="456" spans="1:4" x14ac:dyDescent="0.2">
      <c r="A456" s="10">
        <v>564826.75300000003</v>
      </c>
      <c r="B456" s="8">
        <v>432</v>
      </c>
      <c r="C456" s="10">
        <v>89446.775999999998</v>
      </c>
      <c r="D456" s="8">
        <v>162</v>
      </c>
    </row>
    <row r="457" spans="1:4" x14ac:dyDescent="0.2">
      <c r="A457" s="10">
        <v>524004.95199999999</v>
      </c>
      <c r="B457" s="8">
        <v>432</v>
      </c>
      <c r="C457" s="10">
        <v>82471.879000000001</v>
      </c>
      <c r="D457" s="8">
        <v>162</v>
      </c>
    </row>
    <row r="458" spans="1:4" x14ac:dyDescent="0.2">
      <c r="A458" s="10">
        <v>459544.61900000001</v>
      </c>
      <c r="B458" s="8">
        <v>432</v>
      </c>
      <c r="C458" s="10">
        <v>80060.544999999998</v>
      </c>
      <c r="D458" s="8">
        <v>162</v>
      </c>
    </row>
    <row r="459" spans="1:4" x14ac:dyDescent="0.2">
      <c r="A459" s="10">
        <v>535415</v>
      </c>
      <c r="B459" s="8">
        <v>432</v>
      </c>
      <c r="C459" s="10">
        <v>92750</v>
      </c>
      <c r="D459" s="8">
        <v>175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15C5-5F1A-1442-A891-C38C0CDCBD8B}">
  <sheetPr filterMode="1"/>
  <dimension ref="A1:E459"/>
  <sheetViews>
    <sheetView tabSelected="1" workbookViewId="0">
      <selection activeCell="C1" sqref="C1"/>
    </sheetView>
  </sheetViews>
  <sheetFormatPr baseColWidth="10" defaultRowHeight="16" x14ac:dyDescent="0.2"/>
  <cols>
    <col min="1" max="1" width="22.5" bestFit="1" customWidth="1"/>
    <col min="3" max="3" width="15.1640625" bestFit="1" customWidth="1"/>
    <col min="4" max="4" width="18" bestFit="1" customWidth="1"/>
    <col min="5" max="5" width="12.5" bestFit="1" customWidth="1"/>
  </cols>
  <sheetData>
    <row r="1" spans="1:5" x14ac:dyDescent="0.2">
      <c r="A1" s="1" t="s">
        <v>543</v>
      </c>
      <c r="B1" s="1" t="s">
        <v>14</v>
      </c>
      <c r="C1" s="1" t="s">
        <v>16</v>
      </c>
      <c r="D1" s="1" t="s">
        <v>10</v>
      </c>
      <c r="E1" s="1" t="s">
        <v>551</v>
      </c>
    </row>
    <row r="2" spans="1:5" hidden="1" x14ac:dyDescent="0.2">
      <c r="A2" t="s">
        <v>17</v>
      </c>
      <c r="B2" s="15">
        <v>13.5</v>
      </c>
      <c r="C2">
        <v>67.400000000000006</v>
      </c>
      <c r="D2" s="9">
        <v>114.21</v>
      </c>
    </row>
    <row r="3" spans="1:5" hidden="1" x14ac:dyDescent="0.2">
      <c r="A3" t="s">
        <v>19</v>
      </c>
      <c r="B3" s="15">
        <v>13.52</v>
      </c>
      <c r="C3">
        <v>68.5</v>
      </c>
      <c r="D3" s="9">
        <v>115.97</v>
      </c>
    </row>
    <row r="4" spans="1:5" hidden="1" x14ac:dyDescent="0.2">
      <c r="A4" t="s">
        <v>20</v>
      </c>
      <c r="B4" s="15">
        <v>13.75</v>
      </c>
      <c r="C4">
        <v>67</v>
      </c>
      <c r="D4" s="9">
        <v>110.1</v>
      </c>
    </row>
    <row r="5" spans="1:5" hidden="1" x14ac:dyDescent="0.2">
      <c r="A5" t="s">
        <v>21</v>
      </c>
      <c r="B5" s="15">
        <v>14</v>
      </c>
      <c r="C5">
        <v>66.599999999999994</v>
      </c>
      <c r="D5" s="9">
        <v>110.69</v>
      </c>
    </row>
    <row r="6" spans="1:5" hidden="1" x14ac:dyDescent="0.2">
      <c r="A6" t="s">
        <v>22</v>
      </c>
      <c r="B6" s="15">
        <v>14.32</v>
      </c>
      <c r="C6">
        <v>70.599999999999994</v>
      </c>
      <c r="D6" s="9">
        <v>112.99</v>
      </c>
    </row>
    <row r="7" spans="1:5" hidden="1" x14ac:dyDescent="0.2">
      <c r="A7" t="s">
        <v>23</v>
      </c>
      <c r="B7" s="15">
        <v>14.38</v>
      </c>
      <c r="C7">
        <v>65.3</v>
      </c>
      <c r="D7" s="9">
        <v>117.69</v>
      </c>
    </row>
    <row r="8" spans="1:5" hidden="1" x14ac:dyDescent="0.2">
      <c r="A8" t="s">
        <v>24</v>
      </c>
      <c r="B8" s="15">
        <v>14.91</v>
      </c>
      <c r="C8">
        <v>61.1</v>
      </c>
      <c r="D8" s="9">
        <v>125.43</v>
      </c>
    </row>
    <row r="9" spans="1:5" x14ac:dyDescent="0.2">
      <c r="A9" t="s">
        <v>25</v>
      </c>
      <c r="B9" s="15">
        <v>15.51</v>
      </c>
      <c r="C9">
        <v>63</v>
      </c>
      <c r="D9" s="9">
        <v>98.83</v>
      </c>
      <c r="E9" t="str">
        <f>IF(C2&lt;65,"Low",IF(C2&lt;=70,"Medium","High"))</f>
        <v>Medium</v>
      </c>
    </row>
    <row r="10" spans="1:5" hidden="1" x14ac:dyDescent="0.2">
      <c r="A10" t="s">
        <v>26</v>
      </c>
      <c r="B10" s="15">
        <v>15.78</v>
      </c>
      <c r="D10" s="9">
        <v>125.1</v>
      </c>
    </row>
    <row r="11" spans="1:5" hidden="1" x14ac:dyDescent="0.2">
      <c r="A11" t="s">
        <v>27</v>
      </c>
      <c r="B11" s="15">
        <v>7.46</v>
      </c>
      <c r="C11">
        <v>62.6</v>
      </c>
      <c r="D11" s="9">
        <v>295.57</v>
      </c>
    </row>
    <row r="12" spans="1:5" hidden="1" x14ac:dyDescent="0.2">
      <c r="A12" t="s">
        <v>29</v>
      </c>
      <c r="B12" s="15">
        <v>7.72</v>
      </c>
      <c r="C12">
        <v>55.1</v>
      </c>
      <c r="D12" s="9">
        <v>298.56</v>
      </c>
    </row>
    <row r="13" spans="1:5" hidden="1" x14ac:dyDescent="0.2">
      <c r="A13" t="s">
        <v>30</v>
      </c>
      <c r="B13" s="15">
        <v>7.87</v>
      </c>
      <c r="C13">
        <v>49.5</v>
      </c>
      <c r="D13" s="9">
        <v>303.89999999999998</v>
      </c>
    </row>
    <row r="14" spans="1:5" hidden="1" x14ac:dyDescent="0.2">
      <c r="A14" t="s">
        <v>31</v>
      </c>
      <c r="B14" s="15">
        <v>7.88</v>
      </c>
      <c r="C14">
        <v>56</v>
      </c>
      <c r="D14" s="9">
        <v>304.19</v>
      </c>
    </row>
    <row r="15" spans="1:5" hidden="1" x14ac:dyDescent="0.2">
      <c r="A15" t="s">
        <v>32</v>
      </c>
      <c r="B15" s="15">
        <v>8.7200000000000006</v>
      </c>
      <c r="C15">
        <v>54.3</v>
      </c>
      <c r="D15" s="9">
        <v>256.58999999999997</v>
      </c>
    </row>
    <row r="16" spans="1:5" hidden="1" x14ac:dyDescent="0.2">
      <c r="A16" t="s">
        <v>33</v>
      </c>
      <c r="B16" s="15">
        <v>8.99</v>
      </c>
      <c r="C16">
        <v>57.5</v>
      </c>
      <c r="D16" s="9">
        <v>278.16000000000003</v>
      </c>
    </row>
    <row r="17" spans="1:5" hidden="1" x14ac:dyDescent="0.2">
      <c r="A17" t="s">
        <v>34</v>
      </c>
      <c r="B17" s="15">
        <v>9.75</v>
      </c>
      <c r="C17">
        <v>51.5</v>
      </c>
      <c r="D17" s="9">
        <v>235.68</v>
      </c>
    </row>
    <row r="18" spans="1:5" hidden="1" x14ac:dyDescent="0.2">
      <c r="A18" t="s">
        <v>35</v>
      </c>
      <c r="B18" s="15">
        <v>10.47</v>
      </c>
      <c r="C18">
        <v>55.6</v>
      </c>
      <c r="D18" s="9">
        <v>212.43</v>
      </c>
    </row>
    <row r="19" spans="1:5" hidden="1" x14ac:dyDescent="0.2">
      <c r="A19" t="s">
        <v>36</v>
      </c>
      <c r="B19" s="15">
        <v>10.93</v>
      </c>
      <c r="D19" s="9">
        <v>202.66</v>
      </c>
    </row>
    <row r="20" spans="1:5" hidden="1" x14ac:dyDescent="0.2">
      <c r="A20" t="s">
        <v>37</v>
      </c>
      <c r="B20" s="15">
        <v>12.87</v>
      </c>
      <c r="C20">
        <v>71.7</v>
      </c>
      <c r="D20" s="9">
        <v>96.8</v>
      </c>
    </row>
    <row r="21" spans="1:5" hidden="1" x14ac:dyDescent="0.2">
      <c r="A21" t="s">
        <v>39</v>
      </c>
      <c r="B21" s="15">
        <v>13.35</v>
      </c>
      <c r="C21">
        <v>64.3</v>
      </c>
      <c r="D21" s="9">
        <v>71.08</v>
      </c>
    </row>
    <row r="22" spans="1:5" hidden="1" x14ac:dyDescent="0.2">
      <c r="A22" t="s">
        <v>40</v>
      </c>
      <c r="B22" s="15">
        <v>13.65</v>
      </c>
      <c r="C22">
        <v>58.1</v>
      </c>
      <c r="D22" s="9">
        <v>64.89</v>
      </c>
    </row>
    <row r="23" spans="1:5" hidden="1" x14ac:dyDescent="0.2">
      <c r="A23" t="s">
        <v>41</v>
      </c>
      <c r="B23" s="15">
        <v>13.87</v>
      </c>
      <c r="C23">
        <v>65.5</v>
      </c>
      <c r="D23" s="9">
        <v>61.68</v>
      </c>
    </row>
    <row r="24" spans="1:5" hidden="1" x14ac:dyDescent="0.2">
      <c r="A24" t="s">
        <v>42</v>
      </c>
      <c r="B24" s="15">
        <v>14.31</v>
      </c>
      <c r="C24">
        <v>60.5</v>
      </c>
      <c r="D24" s="9">
        <v>67.34</v>
      </c>
    </row>
    <row r="25" spans="1:5" hidden="1" x14ac:dyDescent="0.2">
      <c r="A25" t="s">
        <v>43</v>
      </c>
      <c r="B25" s="15">
        <v>14.83</v>
      </c>
      <c r="C25">
        <v>62.4</v>
      </c>
      <c r="D25" s="9">
        <v>60.19</v>
      </c>
    </row>
    <row r="26" spans="1:5" x14ac:dyDescent="0.2">
      <c r="A26" t="s">
        <v>44</v>
      </c>
      <c r="B26" s="15">
        <v>15.45</v>
      </c>
      <c r="C26">
        <v>59.4</v>
      </c>
      <c r="D26" s="9">
        <v>62.6</v>
      </c>
      <c r="E26" t="str">
        <f t="shared" ref="E26:E27" si="0">IF(C19&lt;65,"Low",IF(C19&lt;=70,"Medium","High"))</f>
        <v>Low</v>
      </c>
    </row>
    <row r="27" spans="1:5" x14ac:dyDescent="0.2">
      <c r="A27" t="s">
        <v>45</v>
      </c>
      <c r="B27" s="15">
        <v>15.45</v>
      </c>
      <c r="C27">
        <v>60.8</v>
      </c>
      <c r="D27" s="9">
        <v>65.92</v>
      </c>
      <c r="E27" t="str">
        <f t="shared" si="0"/>
        <v>High</v>
      </c>
    </row>
    <row r="28" spans="1:5" hidden="1" x14ac:dyDescent="0.2">
      <c r="A28" t="s">
        <v>46</v>
      </c>
      <c r="B28" s="15">
        <v>16.21</v>
      </c>
      <c r="D28" s="9">
        <v>63.42</v>
      </c>
    </row>
    <row r="29" spans="1:5" hidden="1" x14ac:dyDescent="0.2">
      <c r="A29" t="s">
        <v>47</v>
      </c>
      <c r="B29" s="15">
        <v>14.07</v>
      </c>
      <c r="C29">
        <v>75.400000000000006</v>
      </c>
      <c r="D29" s="9">
        <v>136.80000000000001</v>
      </c>
    </row>
    <row r="30" spans="1:5" hidden="1" x14ac:dyDescent="0.2">
      <c r="A30" t="s">
        <v>49</v>
      </c>
      <c r="B30" s="15">
        <v>14.34</v>
      </c>
      <c r="C30">
        <v>63.9</v>
      </c>
      <c r="D30" s="9">
        <v>118.32</v>
      </c>
    </row>
    <row r="31" spans="1:5" hidden="1" x14ac:dyDescent="0.2">
      <c r="A31" t="s">
        <v>50</v>
      </c>
      <c r="B31" s="15">
        <v>14.27</v>
      </c>
      <c r="C31">
        <v>64.099999999999994</v>
      </c>
      <c r="D31" s="9">
        <v>143.38999999999999</v>
      </c>
    </row>
    <row r="32" spans="1:5" hidden="1" x14ac:dyDescent="0.2">
      <c r="A32" t="s">
        <v>51</v>
      </c>
      <c r="B32" s="15">
        <v>14.65</v>
      </c>
      <c r="C32">
        <v>62.6</v>
      </c>
      <c r="D32" s="9">
        <v>131.47</v>
      </c>
    </row>
    <row r="33" spans="1:5" hidden="1" x14ac:dyDescent="0.2">
      <c r="A33" t="s">
        <v>52</v>
      </c>
      <c r="B33" s="15">
        <v>14.67</v>
      </c>
      <c r="C33">
        <v>66.599999999999994</v>
      </c>
      <c r="D33" s="9">
        <v>145.94</v>
      </c>
    </row>
    <row r="34" spans="1:5" hidden="1" x14ac:dyDescent="0.2">
      <c r="A34" t="s">
        <v>53</v>
      </c>
      <c r="B34" s="15">
        <v>14.76</v>
      </c>
      <c r="C34">
        <v>69.599999999999994</v>
      </c>
      <c r="D34" s="9">
        <v>121.53</v>
      </c>
    </row>
    <row r="35" spans="1:5" x14ac:dyDescent="0.2">
      <c r="A35" t="s">
        <v>54</v>
      </c>
      <c r="B35" s="15">
        <v>15.55</v>
      </c>
      <c r="C35">
        <v>59.1</v>
      </c>
      <c r="D35" s="9">
        <v>114.63</v>
      </c>
      <c r="E35" t="str">
        <f t="shared" ref="E35:E36" si="1">IF(C28&lt;65,"Low",IF(C28&lt;=70,"Medium","High"))</f>
        <v>Low</v>
      </c>
    </row>
    <row r="36" spans="1:5" x14ac:dyDescent="0.2">
      <c r="A36" t="s">
        <v>55</v>
      </c>
      <c r="B36" s="15">
        <v>15.58</v>
      </c>
      <c r="C36">
        <v>62.8</v>
      </c>
      <c r="D36" s="9">
        <v>107.86</v>
      </c>
      <c r="E36" t="str">
        <f t="shared" si="1"/>
        <v>High</v>
      </c>
    </row>
    <row r="37" spans="1:5" hidden="1" x14ac:dyDescent="0.2">
      <c r="A37" t="s">
        <v>56</v>
      </c>
      <c r="B37" s="15">
        <v>15.75</v>
      </c>
      <c r="D37" s="9">
        <v>116.29</v>
      </c>
    </row>
    <row r="38" spans="1:5" hidden="1" x14ac:dyDescent="0.2">
      <c r="A38" t="s">
        <v>57</v>
      </c>
      <c r="B38" s="15">
        <v>10.93</v>
      </c>
      <c r="C38">
        <v>71.8</v>
      </c>
      <c r="D38" s="9">
        <v>130.72</v>
      </c>
    </row>
    <row r="39" spans="1:5" hidden="1" x14ac:dyDescent="0.2">
      <c r="A39" t="s">
        <v>59</v>
      </c>
      <c r="B39" s="15">
        <v>11.05</v>
      </c>
      <c r="C39">
        <v>62.5</v>
      </c>
      <c r="D39" s="9">
        <v>130.05000000000001</v>
      </c>
    </row>
    <row r="40" spans="1:5" hidden="1" x14ac:dyDescent="0.2">
      <c r="A40" t="s">
        <v>60</v>
      </c>
      <c r="B40" s="15">
        <v>11.3</v>
      </c>
      <c r="C40">
        <v>60.7</v>
      </c>
      <c r="D40" s="9">
        <v>127.55</v>
      </c>
    </row>
    <row r="41" spans="1:5" hidden="1" x14ac:dyDescent="0.2">
      <c r="A41" t="s">
        <v>61</v>
      </c>
      <c r="B41" s="15">
        <v>11.55</v>
      </c>
      <c r="C41">
        <v>66.5</v>
      </c>
      <c r="D41" s="9">
        <v>118.63</v>
      </c>
    </row>
    <row r="42" spans="1:5" hidden="1" x14ac:dyDescent="0.2">
      <c r="A42" t="s">
        <v>62</v>
      </c>
      <c r="B42" s="15">
        <v>11.81</v>
      </c>
      <c r="D42" s="9">
        <v>128.15</v>
      </c>
    </row>
    <row r="43" spans="1:5" hidden="1" x14ac:dyDescent="0.2">
      <c r="A43" t="s">
        <v>63</v>
      </c>
      <c r="B43" s="15">
        <v>12.13</v>
      </c>
      <c r="C43">
        <v>64.7</v>
      </c>
      <c r="D43" s="9">
        <v>105.77</v>
      </c>
    </row>
    <row r="44" spans="1:5" hidden="1" x14ac:dyDescent="0.2">
      <c r="A44" t="s">
        <v>64</v>
      </c>
      <c r="B44" s="15">
        <v>12.48</v>
      </c>
      <c r="C44">
        <v>61.1</v>
      </c>
      <c r="D44" s="9">
        <v>112.38</v>
      </c>
    </row>
    <row r="45" spans="1:5" hidden="1" x14ac:dyDescent="0.2">
      <c r="A45" t="s">
        <v>65</v>
      </c>
      <c r="B45" s="15">
        <v>12.89</v>
      </c>
      <c r="C45">
        <v>66.2</v>
      </c>
      <c r="D45" s="9">
        <v>101.57</v>
      </c>
    </row>
    <row r="46" spans="1:5" hidden="1" x14ac:dyDescent="0.2">
      <c r="A46" t="s">
        <v>66</v>
      </c>
      <c r="B46" s="15">
        <v>13.2</v>
      </c>
      <c r="D46" s="9">
        <v>107.72</v>
      </c>
    </row>
    <row r="47" spans="1:5" hidden="1" x14ac:dyDescent="0.2">
      <c r="A47" t="s">
        <v>67</v>
      </c>
      <c r="B47" s="15">
        <v>10.28</v>
      </c>
      <c r="C47">
        <v>76.900000000000006</v>
      </c>
      <c r="D47" s="9">
        <v>94.81</v>
      </c>
    </row>
    <row r="48" spans="1:5" hidden="1" x14ac:dyDescent="0.2">
      <c r="A48" t="s">
        <v>69</v>
      </c>
      <c r="B48" s="15">
        <v>10.61</v>
      </c>
      <c r="C48">
        <v>68.5</v>
      </c>
      <c r="D48" s="9">
        <v>85.93</v>
      </c>
    </row>
    <row r="49" spans="1:5" hidden="1" x14ac:dyDescent="0.2">
      <c r="A49" t="s">
        <v>70</v>
      </c>
      <c r="B49" s="15">
        <v>10.87</v>
      </c>
      <c r="C49">
        <v>69.5</v>
      </c>
      <c r="D49" s="9">
        <v>85.76</v>
      </c>
    </row>
    <row r="50" spans="1:5" hidden="1" x14ac:dyDescent="0.2">
      <c r="A50" t="s">
        <v>71</v>
      </c>
      <c r="B50" s="15">
        <v>11.18</v>
      </c>
      <c r="C50">
        <v>72.099999999999994</v>
      </c>
      <c r="D50" s="9">
        <v>79.08</v>
      </c>
    </row>
    <row r="51" spans="1:5" hidden="1" x14ac:dyDescent="0.2">
      <c r="A51" t="s">
        <v>72</v>
      </c>
      <c r="B51" s="15">
        <v>11.49</v>
      </c>
      <c r="C51">
        <v>72.099999999999994</v>
      </c>
      <c r="D51" s="9">
        <v>75.900000000000006</v>
      </c>
    </row>
    <row r="52" spans="1:5" hidden="1" x14ac:dyDescent="0.2">
      <c r="A52" t="s">
        <v>73</v>
      </c>
      <c r="B52" s="15">
        <v>11.85</v>
      </c>
      <c r="C52">
        <v>73</v>
      </c>
      <c r="D52" s="9">
        <v>79.209999999999994</v>
      </c>
    </row>
    <row r="53" spans="1:5" hidden="1" x14ac:dyDescent="0.2">
      <c r="A53" t="s">
        <v>74</v>
      </c>
      <c r="B53" s="15">
        <v>12.51</v>
      </c>
      <c r="C53">
        <v>66.900000000000006</v>
      </c>
      <c r="D53" s="9">
        <v>70.319999999999993</v>
      </c>
    </row>
    <row r="54" spans="1:5" hidden="1" x14ac:dyDescent="0.2">
      <c r="A54" t="s">
        <v>75</v>
      </c>
      <c r="B54" s="15">
        <v>12.74</v>
      </c>
      <c r="C54">
        <v>68.5</v>
      </c>
      <c r="D54" s="9">
        <v>58.59</v>
      </c>
    </row>
    <row r="55" spans="1:5" hidden="1" x14ac:dyDescent="0.2">
      <c r="A55" t="s">
        <v>76</v>
      </c>
      <c r="B55" s="15">
        <v>13.23</v>
      </c>
      <c r="D55" s="9">
        <v>54.19</v>
      </c>
    </row>
    <row r="56" spans="1:5" hidden="1" x14ac:dyDescent="0.2">
      <c r="A56" t="s">
        <v>77</v>
      </c>
      <c r="B56" s="15">
        <v>13.63</v>
      </c>
      <c r="C56">
        <v>75.2</v>
      </c>
      <c r="D56" s="9">
        <v>126</v>
      </c>
    </row>
    <row r="57" spans="1:5" hidden="1" x14ac:dyDescent="0.2">
      <c r="A57" t="s">
        <v>79</v>
      </c>
      <c r="B57" s="15">
        <v>13.86</v>
      </c>
      <c r="C57">
        <v>68.5</v>
      </c>
      <c r="D57" s="9">
        <v>106.17</v>
      </c>
    </row>
    <row r="58" spans="1:5" hidden="1" x14ac:dyDescent="0.2">
      <c r="A58" t="s">
        <v>80</v>
      </c>
      <c r="B58" s="15">
        <v>14.05</v>
      </c>
      <c r="C58">
        <v>66.400000000000006</v>
      </c>
      <c r="D58" s="9">
        <v>121.29</v>
      </c>
    </row>
    <row r="59" spans="1:5" hidden="1" x14ac:dyDescent="0.2">
      <c r="A59" t="s">
        <v>81</v>
      </c>
      <c r="B59" s="15">
        <v>14.3</v>
      </c>
      <c r="C59">
        <v>66.8</v>
      </c>
      <c r="D59" s="9">
        <v>98.38</v>
      </c>
    </row>
    <row r="60" spans="1:5" hidden="1" x14ac:dyDescent="0.2">
      <c r="A60" t="s">
        <v>82</v>
      </c>
      <c r="B60" s="15">
        <v>14.52</v>
      </c>
      <c r="C60">
        <v>67.5</v>
      </c>
      <c r="D60" s="9">
        <v>104.56</v>
      </c>
    </row>
    <row r="61" spans="1:5" hidden="1" x14ac:dyDescent="0.2">
      <c r="A61" t="s">
        <v>83</v>
      </c>
      <c r="B61" s="15">
        <v>14.78</v>
      </c>
      <c r="C61">
        <v>70.099999999999994</v>
      </c>
      <c r="D61" s="9">
        <v>105.37</v>
      </c>
    </row>
    <row r="62" spans="1:5" x14ac:dyDescent="0.2">
      <c r="A62" t="s">
        <v>84</v>
      </c>
      <c r="B62" s="15">
        <v>15.09</v>
      </c>
      <c r="C62">
        <v>66.7</v>
      </c>
      <c r="D62" s="9">
        <v>112.64</v>
      </c>
      <c r="E62" t="str">
        <f t="shared" ref="E62:E63" si="2">IF(C55&lt;65,"Low",IF(C55&lt;=70,"Medium","High"))</f>
        <v>Low</v>
      </c>
    </row>
    <row r="63" spans="1:5" x14ac:dyDescent="0.2">
      <c r="A63" t="s">
        <v>85</v>
      </c>
      <c r="B63" s="15">
        <v>15.42</v>
      </c>
      <c r="C63">
        <v>66.599999999999994</v>
      </c>
      <c r="D63" s="9">
        <v>85.89</v>
      </c>
      <c r="E63" t="str">
        <f t="shared" si="2"/>
        <v>High</v>
      </c>
    </row>
    <row r="64" spans="1:5" hidden="1" x14ac:dyDescent="0.2">
      <c r="A64" t="s">
        <v>86</v>
      </c>
      <c r="B64" s="15">
        <v>16.02</v>
      </c>
      <c r="D64" s="9">
        <v>101.69</v>
      </c>
    </row>
    <row r="65" spans="1:5" hidden="1" x14ac:dyDescent="0.2">
      <c r="A65" t="s">
        <v>87</v>
      </c>
      <c r="B65" s="15">
        <v>13.78</v>
      </c>
      <c r="C65">
        <v>71.2</v>
      </c>
      <c r="D65" s="9">
        <v>135.97</v>
      </c>
    </row>
    <row r="66" spans="1:5" hidden="1" x14ac:dyDescent="0.2">
      <c r="A66" t="s">
        <v>89</v>
      </c>
      <c r="B66" s="15">
        <v>13.93</v>
      </c>
      <c r="C66">
        <v>70.599999999999994</v>
      </c>
      <c r="D66" s="9">
        <v>136.41999999999999</v>
      </c>
    </row>
    <row r="67" spans="1:5" hidden="1" x14ac:dyDescent="0.2">
      <c r="A67" t="s">
        <v>90</v>
      </c>
      <c r="B67" s="15">
        <v>14.22</v>
      </c>
      <c r="C67">
        <v>69.099999999999994</v>
      </c>
      <c r="D67" s="9">
        <v>127.98</v>
      </c>
    </row>
    <row r="68" spans="1:5" hidden="1" x14ac:dyDescent="0.2">
      <c r="A68" t="s">
        <v>91</v>
      </c>
      <c r="B68" s="15">
        <v>14.53</v>
      </c>
      <c r="C68">
        <v>71.400000000000006</v>
      </c>
      <c r="D68" s="9">
        <v>133.1</v>
      </c>
    </row>
    <row r="69" spans="1:5" hidden="1" x14ac:dyDescent="0.2">
      <c r="A69" t="s">
        <v>92</v>
      </c>
      <c r="B69" s="15">
        <v>14.9</v>
      </c>
      <c r="C69">
        <v>70</v>
      </c>
      <c r="D69" s="9">
        <v>123.71</v>
      </c>
    </row>
    <row r="70" spans="1:5" x14ac:dyDescent="0.2">
      <c r="A70" t="s">
        <v>93</v>
      </c>
      <c r="B70" s="15">
        <v>15.38</v>
      </c>
      <c r="C70">
        <v>70.400000000000006</v>
      </c>
      <c r="D70" s="9">
        <v>127.23</v>
      </c>
      <c r="E70" t="str">
        <f t="shared" ref="E70:E72" si="3">IF(C63&lt;65,"Low",IF(C63&lt;=70,"Medium","High"))</f>
        <v>Medium</v>
      </c>
    </row>
    <row r="71" spans="1:5" x14ac:dyDescent="0.2">
      <c r="A71" t="s">
        <v>94</v>
      </c>
      <c r="B71" s="15">
        <v>15.93</v>
      </c>
      <c r="C71">
        <v>68.2</v>
      </c>
      <c r="D71" s="9">
        <v>132.84</v>
      </c>
      <c r="E71" t="str">
        <f t="shared" si="3"/>
        <v>Low</v>
      </c>
    </row>
    <row r="72" spans="1:5" x14ac:dyDescent="0.2">
      <c r="A72" t="s">
        <v>95</v>
      </c>
      <c r="B72" s="15">
        <v>16.43</v>
      </c>
      <c r="C72">
        <v>73.599999999999994</v>
      </c>
      <c r="D72" s="9">
        <v>105.43</v>
      </c>
      <c r="E72" t="str">
        <f t="shared" si="3"/>
        <v>High</v>
      </c>
    </row>
    <row r="73" spans="1:5" hidden="1" x14ac:dyDescent="0.2">
      <c r="A73" t="s">
        <v>96</v>
      </c>
      <c r="B73" s="15">
        <v>17.010000000000002</v>
      </c>
      <c r="D73" s="9">
        <v>104.32</v>
      </c>
    </row>
    <row r="74" spans="1:5" hidden="1" x14ac:dyDescent="0.2">
      <c r="A74" t="s">
        <v>97</v>
      </c>
      <c r="B74" s="15">
        <v>11.88</v>
      </c>
      <c r="C74">
        <v>63.6</v>
      </c>
      <c r="D74" s="9">
        <v>231.35</v>
      </c>
    </row>
    <row r="75" spans="1:5" hidden="1" x14ac:dyDescent="0.2">
      <c r="A75" t="s">
        <v>99</v>
      </c>
      <c r="B75" s="15">
        <v>11.48</v>
      </c>
      <c r="C75">
        <v>62.4</v>
      </c>
      <c r="D75" s="9">
        <v>241.05</v>
      </c>
    </row>
    <row r="76" spans="1:5" hidden="1" x14ac:dyDescent="0.2">
      <c r="A76" t="s">
        <v>100</v>
      </c>
      <c r="B76" s="15">
        <v>11.51</v>
      </c>
      <c r="C76">
        <v>63.6</v>
      </c>
      <c r="D76" s="9">
        <v>232.55</v>
      </c>
    </row>
    <row r="77" spans="1:5" hidden="1" x14ac:dyDescent="0.2">
      <c r="A77" t="s">
        <v>101</v>
      </c>
      <c r="B77" s="15">
        <v>11.33</v>
      </c>
      <c r="C77">
        <v>61</v>
      </c>
      <c r="D77" s="9">
        <v>231.47</v>
      </c>
    </row>
    <row r="78" spans="1:5" hidden="1" x14ac:dyDescent="0.2">
      <c r="A78" t="s">
        <v>102</v>
      </c>
      <c r="B78" s="15">
        <v>11.3</v>
      </c>
      <c r="C78">
        <v>59.1</v>
      </c>
      <c r="D78" s="9">
        <v>226.22</v>
      </c>
    </row>
    <row r="79" spans="1:5" hidden="1" x14ac:dyDescent="0.2">
      <c r="A79" t="s">
        <v>103</v>
      </c>
      <c r="B79" s="15">
        <v>11.4</v>
      </c>
      <c r="C79">
        <v>56.2</v>
      </c>
      <c r="D79" s="9">
        <v>219.47</v>
      </c>
    </row>
    <row r="80" spans="1:5" hidden="1" x14ac:dyDescent="0.2">
      <c r="A80" t="s">
        <v>104</v>
      </c>
      <c r="B80" s="15">
        <v>11.38</v>
      </c>
      <c r="C80">
        <v>65</v>
      </c>
      <c r="D80" s="9">
        <v>215.63</v>
      </c>
    </row>
    <row r="81" spans="1:5" hidden="1" x14ac:dyDescent="0.2">
      <c r="A81" t="s">
        <v>105</v>
      </c>
      <c r="B81" s="15">
        <v>11.86</v>
      </c>
      <c r="D81" s="9">
        <v>203.09</v>
      </c>
    </row>
    <row r="82" spans="1:5" x14ac:dyDescent="0.2">
      <c r="A82" t="s">
        <v>106</v>
      </c>
      <c r="B82" s="15">
        <v>16.850000000000001</v>
      </c>
      <c r="C82">
        <v>67.8</v>
      </c>
      <c r="D82" s="9">
        <v>60.59</v>
      </c>
      <c r="E82" t="str">
        <f t="shared" ref="E82:E89" si="4">IF(C75&lt;65,"Low",IF(C75&lt;=70,"Medium","High"))</f>
        <v>Low</v>
      </c>
    </row>
    <row r="83" spans="1:5" x14ac:dyDescent="0.2">
      <c r="A83" t="s">
        <v>108</v>
      </c>
      <c r="B83" s="15">
        <v>16.93</v>
      </c>
      <c r="C83">
        <v>65.2</v>
      </c>
      <c r="D83" s="9">
        <v>60.63</v>
      </c>
      <c r="E83" t="str">
        <f t="shared" si="4"/>
        <v>Low</v>
      </c>
    </row>
    <row r="84" spans="1:5" x14ac:dyDescent="0.2">
      <c r="A84" t="s">
        <v>109</v>
      </c>
      <c r="B84" s="15">
        <v>17.18</v>
      </c>
      <c r="C84">
        <v>62.3</v>
      </c>
      <c r="D84" s="9">
        <v>63.54</v>
      </c>
      <c r="E84" t="str">
        <f t="shared" si="4"/>
        <v>Low</v>
      </c>
    </row>
    <row r="85" spans="1:5" x14ac:dyDescent="0.2">
      <c r="A85" t="s">
        <v>110</v>
      </c>
      <c r="B85" s="15">
        <v>17.5</v>
      </c>
      <c r="C85">
        <v>56.7</v>
      </c>
      <c r="D85" s="9">
        <v>60.65</v>
      </c>
      <c r="E85" t="str">
        <f t="shared" si="4"/>
        <v>Low</v>
      </c>
    </row>
    <row r="86" spans="1:5" x14ac:dyDescent="0.2">
      <c r="A86" t="s">
        <v>111</v>
      </c>
      <c r="B86" s="15">
        <v>17.7</v>
      </c>
      <c r="C86">
        <v>58.7</v>
      </c>
      <c r="D86" s="9">
        <v>64.09</v>
      </c>
      <c r="E86" t="str">
        <f t="shared" si="4"/>
        <v>Low</v>
      </c>
    </row>
    <row r="87" spans="1:5" x14ac:dyDescent="0.2">
      <c r="A87" t="s">
        <v>112</v>
      </c>
      <c r="B87" s="15">
        <v>18.079999999999998</v>
      </c>
      <c r="C87">
        <v>62</v>
      </c>
      <c r="D87" s="9">
        <v>61.72</v>
      </c>
      <c r="E87" t="str">
        <f t="shared" si="4"/>
        <v>Medium</v>
      </c>
    </row>
    <row r="88" spans="1:5" x14ac:dyDescent="0.2">
      <c r="A88" t="s">
        <v>113</v>
      </c>
      <c r="B88" s="15">
        <v>18.670000000000002</v>
      </c>
      <c r="C88">
        <v>60.6</v>
      </c>
      <c r="D88" s="9">
        <v>62.83</v>
      </c>
      <c r="E88" t="str">
        <f t="shared" si="4"/>
        <v>Low</v>
      </c>
    </row>
    <row r="89" spans="1:5" x14ac:dyDescent="0.2">
      <c r="A89" t="s">
        <v>114</v>
      </c>
      <c r="B89" s="15">
        <v>19.05</v>
      </c>
      <c r="C89">
        <v>64</v>
      </c>
      <c r="D89" s="9">
        <v>59.23</v>
      </c>
      <c r="E89" t="str">
        <f t="shared" si="4"/>
        <v>Medium</v>
      </c>
    </row>
    <row r="90" spans="1:5" hidden="1" x14ac:dyDescent="0.2">
      <c r="A90" t="s">
        <v>115</v>
      </c>
      <c r="B90" s="15">
        <v>19.34</v>
      </c>
      <c r="D90" s="9">
        <v>64.62</v>
      </c>
    </row>
    <row r="91" spans="1:5" hidden="1" x14ac:dyDescent="0.2">
      <c r="A91" t="s">
        <v>116</v>
      </c>
      <c r="B91" s="15">
        <v>10.08</v>
      </c>
      <c r="C91">
        <v>68.3</v>
      </c>
      <c r="D91" s="9">
        <v>119.06</v>
      </c>
    </row>
    <row r="92" spans="1:5" hidden="1" x14ac:dyDescent="0.2">
      <c r="A92" t="s">
        <v>118</v>
      </c>
      <c r="B92" s="15">
        <v>10.33</v>
      </c>
      <c r="C92">
        <v>61</v>
      </c>
      <c r="D92" s="9">
        <v>118.21</v>
      </c>
    </row>
    <row r="93" spans="1:5" hidden="1" x14ac:dyDescent="0.2">
      <c r="A93" t="s">
        <v>119</v>
      </c>
      <c r="B93" s="15">
        <v>10.52</v>
      </c>
      <c r="C93">
        <v>68.599999999999994</v>
      </c>
      <c r="D93" s="9">
        <v>115.78</v>
      </c>
    </row>
    <row r="94" spans="1:5" hidden="1" x14ac:dyDescent="0.2">
      <c r="A94" t="s">
        <v>120</v>
      </c>
      <c r="B94" s="15">
        <v>10.91</v>
      </c>
      <c r="C94">
        <v>62</v>
      </c>
      <c r="D94" s="9">
        <v>102.82</v>
      </c>
    </row>
    <row r="95" spans="1:5" hidden="1" x14ac:dyDescent="0.2">
      <c r="A95" t="s">
        <v>121</v>
      </c>
      <c r="B95" s="15">
        <v>11.28</v>
      </c>
      <c r="C95">
        <v>59.3</v>
      </c>
      <c r="D95" s="9">
        <v>102.17</v>
      </c>
    </row>
    <row r="96" spans="1:5" hidden="1" x14ac:dyDescent="0.2">
      <c r="A96" t="s">
        <v>122</v>
      </c>
      <c r="B96" s="15">
        <v>11.46</v>
      </c>
      <c r="C96">
        <v>62.8</v>
      </c>
      <c r="D96" s="9">
        <v>100.77</v>
      </c>
    </row>
    <row r="97" spans="1:5" hidden="1" x14ac:dyDescent="0.2">
      <c r="A97" t="s">
        <v>123</v>
      </c>
      <c r="B97" s="15">
        <v>12.1</v>
      </c>
      <c r="C97">
        <v>62.6</v>
      </c>
      <c r="D97" s="9">
        <v>92.95</v>
      </c>
    </row>
    <row r="98" spans="1:5" hidden="1" x14ac:dyDescent="0.2">
      <c r="A98" t="s">
        <v>124</v>
      </c>
      <c r="B98" s="15">
        <v>12.35</v>
      </c>
      <c r="C98">
        <v>64.8</v>
      </c>
      <c r="D98" s="9">
        <v>85.78</v>
      </c>
    </row>
    <row r="99" spans="1:5" hidden="1" x14ac:dyDescent="0.2">
      <c r="A99" t="s">
        <v>125</v>
      </c>
      <c r="B99" s="15">
        <v>12.89</v>
      </c>
      <c r="D99" s="9">
        <v>83.77</v>
      </c>
    </row>
    <row r="100" spans="1:5" hidden="1" x14ac:dyDescent="0.2">
      <c r="A100" t="s">
        <v>126</v>
      </c>
      <c r="B100" s="15">
        <v>14.09</v>
      </c>
      <c r="C100">
        <v>76.900000000000006</v>
      </c>
      <c r="D100" s="9">
        <v>127.87</v>
      </c>
    </row>
    <row r="101" spans="1:5" hidden="1" x14ac:dyDescent="0.2">
      <c r="A101" t="s">
        <v>128</v>
      </c>
      <c r="B101" s="15">
        <v>13.94</v>
      </c>
      <c r="C101">
        <v>69</v>
      </c>
      <c r="D101" s="9">
        <v>138.78</v>
      </c>
    </row>
    <row r="102" spans="1:5" hidden="1" x14ac:dyDescent="0.2">
      <c r="A102" t="s">
        <v>129</v>
      </c>
      <c r="B102" s="15">
        <v>14.22</v>
      </c>
      <c r="C102">
        <v>70.599999999999994</v>
      </c>
      <c r="D102" s="9">
        <v>241.37</v>
      </c>
    </row>
    <row r="103" spans="1:5" hidden="1" x14ac:dyDescent="0.2">
      <c r="A103" t="s">
        <v>130</v>
      </c>
      <c r="B103" s="15">
        <v>14.47</v>
      </c>
      <c r="C103">
        <v>73.5</v>
      </c>
      <c r="D103" s="9">
        <v>184.92</v>
      </c>
    </row>
    <row r="104" spans="1:5" hidden="1" x14ac:dyDescent="0.2">
      <c r="A104" t="s">
        <v>131</v>
      </c>
      <c r="B104" s="15">
        <v>14.74</v>
      </c>
      <c r="C104">
        <v>73.2</v>
      </c>
      <c r="D104" s="9">
        <v>197.82</v>
      </c>
    </row>
    <row r="105" spans="1:5" x14ac:dyDescent="0.2">
      <c r="A105" t="s">
        <v>132</v>
      </c>
      <c r="B105" s="15">
        <v>15.3</v>
      </c>
      <c r="C105">
        <v>69.2</v>
      </c>
      <c r="D105" s="9">
        <v>174.52</v>
      </c>
      <c r="E105" t="str">
        <f t="shared" ref="E105:E107" si="5">IF(C98&lt;65,"Low",IF(C98&lt;=70,"Medium","High"))</f>
        <v>Low</v>
      </c>
    </row>
    <row r="106" spans="1:5" x14ac:dyDescent="0.2">
      <c r="A106" t="s">
        <v>133</v>
      </c>
      <c r="B106" s="15">
        <v>15.65</v>
      </c>
      <c r="C106">
        <v>64.099999999999994</v>
      </c>
      <c r="D106" s="9">
        <v>218.95</v>
      </c>
      <c r="E106" t="str">
        <f t="shared" si="5"/>
        <v>Low</v>
      </c>
    </row>
    <row r="107" spans="1:5" x14ac:dyDescent="0.2">
      <c r="A107" t="s">
        <v>134</v>
      </c>
      <c r="B107" s="15">
        <v>16.14</v>
      </c>
      <c r="C107">
        <v>66.2</v>
      </c>
      <c r="D107" s="9">
        <v>191.97</v>
      </c>
      <c r="E107" t="str">
        <f t="shared" si="5"/>
        <v>High</v>
      </c>
    </row>
    <row r="108" spans="1:5" hidden="1" x14ac:dyDescent="0.2">
      <c r="A108" t="s">
        <v>135</v>
      </c>
      <c r="B108" s="15">
        <v>16.75</v>
      </c>
      <c r="D108" s="9">
        <v>226.33</v>
      </c>
    </row>
    <row r="109" spans="1:5" hidden="1" x14ac:dyDescent="0.2">
      <c r="A109" t="s">
        <v>136</v>
      </c>
      <c r="B109" s="15">
        <v>11.78</v>
      </c>
      <c r="C109">
        <v>65.099999999999994</v>
      </c>
      <c r="D109" s="9">
        <v>94.88</v>
      </c>
    </row>
    <row r="110" spans="1:5" hidden="1" x14ac:dyDescent="0.2">
      <c r="A110" t="s">
        <v>138</v>
      </c>
      <c r="B110" s="15">
        <v>11.94</v>
      </c>
      <c r="C110">
        <v>60.2</v>
      </c>
      <c r="D110" s="9">
        <v>116.29</v>
      </c>
    </row>
    <row r="111" spans="1:5" hidden="1" x14ac:dyDescent="0.2">
      <c r="A111" t="s">
        <v>139</v>
      </c>
      <c r="B111" s="15">
        <v>12.48</v>
      </c>
      <c r="C111">
        <v>57.7</v>
      </c>
      <c r="D111" s="9">
        <v>103.5</v>
      </c>
    </row>
    <row r="112" spans="1:5" hidden="1" x14ac:dyDescent="0.2">
      <c r="A112" t="s">
        <v>140</v>
      </c>
      <c r="B112" s="15">
        <v>12.59</v>
      </c>
      <c r="C112">
        <v>60.5</v>
      </c>
      <c r="D112" s="9">
        <v>98.29</v>
      </c>
    </row>
    <row r="113" spans="1:4" hidden="1" x14ac:dyDescent="0.2">
      <c r="A113" t="s">
        <v>141</v>
      </c>
      <c r="B113" s="15">
        <v>13.06</v>
      </c>
      <c r="C113">
        <v>57.4</v>
      </c>
      <c r="D113" s="9">
        <v>104.19</v>
      </c>
    </row>
    <row r="114" spans="1:4" hidden="1" x14ac:dyDescent="0.2">
      <c r="A114" t="s">
        <v>142</v>
      </c>
      <c r="B114" s="15">
        <v>13.53</v>
      </c>
      <c r="C114">
        <v>61.9</v>
      </c>
      <c r="D114" s="9">
        <v>87.58</v>
      </c>
    </row>
    <row r="115" spans="1:4" hidden="1" x14ac:dyDescent="0.2">
      <c r="A115" t="s">
        <v>143</v>
      </c>
      <c r="B115" s="15">
        <v>13.81</v>
      </c>
      <c r="C115">
        <v>54.9</v>
      </c>
      <c r="D115" s="9">
        <v>92.17</v>
      </c>
    </row>
    <row r="116" spans="1:4" hidden="1" x14ac:dyDescent="0.2">
      <c r="A116" t="s">
        <v>144</v>
      </c>
      <c r="B116" s="15">
        <v>14.27</v>
      </c>
      <c r="C116">
        <v>60.3</v>
      </c>
      <c r="D116" s="9">
        <v>85.92</v>
      </c>
    </row>
    <row r="117" spans="1:4" hidden="1" x14ac:dyDescent="0.2">
      <c r="A117" t="s">
        <v>145</v>
      </c>
      <c r="B117" s="15">
        <v>14.87</v>
      </c>
      <c r="D117" s="9">
        <v>100.44</v>
      </c>
    </row>
    <row r="118" spans="1:4" hidden="1" x14ac:dyDescent="0.2">
      <c r="A118" t="s">
        <v>146</v>
      </c>
      <c r="B118" s="15">
        <v>12.16</v>
      </c>
      <c r="C118">
        <v>69.099999999999994</v>
      </c>
      <c r="D118" s="9">
        <v>127.96</v>
      </c>
    </row>
    <row r="119" spans="1:4" hidden="1" x14ac:dyDescent="0.2">
      <c r="A119" t="s">
        <v>148</v>
      </c>
      <c r="B119" s="15">
        <v>12.32</v>
      </c>
      <c r="C119">
        <v>63.9</v>
      </c>
      <c r="D119" s="9">
        <v>120.34</v>
      </c>
    </row>
    <row r="120" spans="1:4" hidden="1" x14ac:dyDescent="0.2">
      <c r="A120" t="s">
        <v>149</v>
      </c>
      <c r="B120" s="15">
        <v>12.44</v>
      </c>
      <c r="C120">
        <v>59.1</v>
      </c>
      <c r="D120" s="9">
        <v>129.36000000000001</v>
      </c>
    </row>
    <row r="121" spans="1:4" hidden="1" x14ac:dyDescent="0.2">
      <c r="A121" t="s">
        <v>150</v>
      </c>
      <c r="B121" s="15">
        <v>12.69</v>
      </c>
      <c r="C121">
        <v>65</v>
      </c>
      <c r="D121" s="9">
        <v>121.54</v>
      </c>
    </row>
    <row r="122" spans="1:4" hidden="1" x14ac:dyDescent="0.2">
      <c r="A122" t="s">
        <v>151</v>
      </c>
      <c r="B122" s="15">
        <v>12.82</v>
      </c>
      <c r="C122">
        <v>60.3</v>
      </c>
      <c r="D122" s="9">
        <v>129.47999999999999</v>
      </c>
    </row>
    <row r="123" spans="1:4" hidden="1" x14ac:dyDescent="0.2">
      <c r="A123" t="s">
        <v>152</v>
      </c>
      <c r="B123" s="15">
        <v>13.04</v>
      </c>
      <c r="C123">
        <v>60.1</v>
      </c>
      <c r="D123" s="9">
        <v>127.26</v>
      </c>
    </row>
    <row r="124" spans="1:4" hidden="1" x14ac:dyDescent="0.2">
      <c r="A124" t="s">
        <v>153</v>
      </c>
      <c r="B124" s="15">
        <v>13.43</v>
      </c>
      <c r="C124">
        <v>59.3</v>
      </c>
      <c r="D124" s="9">
        <v>112.51</v>
      </c>
    </row>
    <row r="125" spans="1:4" hidden="1" x14ac:dyDescent="0.2">
      <c r="A125" t="s">
        <v>154</v>
      </c>
      <c r="B125" s="15">
        <v>13.9</v>
      </c>
      <c r="C125">
        <v>62.3</v>
      </c>
      <c r="D125" s="9">
        <v>100.71</v>
      </c>
    </row>
    <row r="126" spans="1:4" hidden="1" x14ac:dyDescent="0.2">
      <c r="A126" t="s">
        <v>155</v>
      </c>
      <c r="B126" s="15">
        <v>14.36</v>
      </c>
      <c r="D126" s="9">
        <v>108.26</v>
      </c>
    </row>
    <row r="127" spans="1:4" hidden="1" x14ac:dyDescent="0.2">
      <c r="A127" t="s">
        <v>156</v>
      </c>
      <c r="B127" s="15">
        <v>12.62</v>
      </c>
      <c r="C127">
        <v>69.900000000000006</v>
      </c>
      <c r="D127" s="9">
        <v>117.56</v>
      </c>
    </row>
    <row r="128" spans="1:4" hidden="1" x14ac:dyDescent="0.2">
      <c r="A128" t="s">
        <v>158</v>
      </c>
      <c r="B128" s="15">
        <v>12.73</v>
      </c>
      <c r="C128">
        <v>65.8</v>
      </c>
      <c r="D128" s="9">
        <v>117.95</v>
      </c>
    </row>
    <row r="129" spans="1:5" hidden="1" x14ac:dyDescent="0.2">
      <c r="A129" t="s">
        <v>159</v>
      </c>
      <c r="B129" s="15">
        <v>12.8</v>
      </c>
      <c r="C129">
        <v>62.1</v>
      </c>
      <c r="D129" s="9">
        <v>101.34</v>
      </c>
    </row>
    <row r="130" spans="1:5" hidden="1" x14ac:dyDescent="0.2">
      <c r="A130" t="s">
        <v>160</v>
      </c>
      <c r="B130" s="15">
        <v>13.15</v>
      </c>
      <c r="C130">
        <v>64.599999999999994</v>
      </c>
      <c r="D130" s="9">
        <v>92.26</v>
      </c>
    </row>
    <row r="131" spans="1:5" hidden="1" x14ac:dyDescent="0.2">
      <c r="A131" t="s">
        <v>161</v>
      </c>
      <c r="B131" s="15">
        <v>13.24</v>
      </c>
      <c r="C131">
        <v>61.1</v>
      </c>
      <c r="D131" s="9">
        <v>105.14</v>
      </c>
    </row>
    <row r="132" spans="1:5" hidden="1" x14ac:dyDescent="0.2">
      <c r="A132" t="s">
        <v>162</v>
      </c>
      <c r="B132" s="15">
        <v>13.61</v>
      </c>
      <c r="C132">
        <v>64.3</v>
      </c>
      <c r="D132" s="9">
        <v>95.97</v>
      </c>
    </row>
    <row r="133" spans="1:5" hidden="1" x14ac:dyDescent="0.2">
      <c r="A133" t="s">
        <v>163</v>
      </c>
      <c r="B133" s="15">
        <v>13.94</v>
      </c>
      <c r="C133">
        <v>62.1</v>
      </c>
      <c r="D133" s="9">
        <v>96.69</v>
      </c>
    </row>
    <row r="134" spans="1:5" hidden="1" x14ac:dyDescent="0.2">
      <c r="A134" t="s">
        <v>164</v>
      </c>
      <c r="B134" s="15">
        <v>14.32</v>
      </c>
      <c r="C134">
        <v>60</v>
      </c>
      <c r="D134" s="9">
        <v>79.67</v>
      </c>
    </row>
    <row r="135" spans="1:5" hidden="1" x14ac:dyDescent="0.2">
      <c r="A135" t="s">
        <v>165</v>
      </c>
      <c r="B135" s="15">
        <v>14.78</v>
      </c>
      <c r="D135" s="9">
        <v>89.6</v>
      </c>
    </row>
    <row r="136" spans="1:5" hidden="1" x14ac:dyDescent="0.2">
      <c r="A136" t="s">
        <v>166</v>
      </c>
      <c r="B136" s="15">
        <v>14.7</v>
      </c>
      <c r="C136">
        <v>76.5</v>
      </c>
      <c r="D136" s="9">
        <v>129.18</v>
      </c>
    </row>
    <row r="137" spans="1:5" hidden="1" x14ac:dyDescent="0.2">
      <c r="A137" t="s">
        <v>168</v>
      </c>
      <c r="B137" s="15">
        <v>14.78</v>
      </c>
      <c r="C137">
        <v>74.599999999999994</v>
      </c>
      <c r="D137" s="9">
        <v>114.3</v>
      </c>
    </row>
    <row r="138" spans="1:5" hidden="1" x14ac:dyDescent="0.2">
      <c r="A138" t="s">
        <v>169</v>
      </c>
      <c r="B138" s="15">
        <v>14.72</v>
      </c>
      <c r="C138">
        <v>75.900000000000006</v>
      </c>
      <c r="D138" s="9">
        <v>129.72</v>
      </c>
    </row>
    <row r="139" spans="1:5" hidden="1" x14ac:dyDescent="0.2">
      <c r="A139" t="s">
        <v>170</v>
      </c>
      <c r="B139" s="15">
        <v>14.83</v>
      </c>
      <c r="C139">
        <v>73.900000000000006</v>
      </c>
      <c r="D139" s="9">
        <v>125.7</v>
      </c>
    </row>
    <row r="140" spans="1:5" hidden="1" x14ac:dyDescent="0.2">
      <c r="A140" t="s">
        <v>171</v>
      </c>
      <c r="B140" s="15">
        <v>14.88</v>
      </c>
      <c r="C140">
        <v>69.900000000000006</v>
      </c>
      <c r="D140" s="9">
        <v>151.63</v>
      </c>
    </row>
    <row r="141" spans="1:5" x14ac:dyDescent="0.2">
      <c r="A141" t="s">
        <v>172</v>
      </c>
      <c r="B141" s="15">
        <v>15.05</v>
      </c>
      <c r="C141">
        <v>76.5</v>
      </c>
      <c r="D141" s="9">
        <v>111.07</v>
      </c>
      <c r="E141" t="str">
        <f t="shared" ref="E141:E143" si="6">IF(C134&lt;65,"Low",IF(C134&lt;=70,"Medium","High"))</f>
        <v>Low</v>
      </c>
    </row>
    <row r="142" spans="1:5" x14ac:dyDescent="0.2">
      <c r="A142" t="s">
        <v>173</v>
      </c>
      <c r="B142" s="15">
        <v>15.54</v>
      </c>
      <c r="C142">
        <v>73.5</v>
      </c>
      <c r="D142" s="9">
        <v>103.41</v>
      </c>
      <c r="E142" t="str">
        <f t="shared" si="6"/>
        <v>Low</v>
      </c>
    </row>
    <row r="143" spans="1:5" x14ac:dyDescent="0.2">
      <c r="A143" t="s">
        <v>174</v>
      </c>
      <c r="B143" s="15">
        <v>15.54</v>
      </c>
      <c r="C143">
        <v>68.8</v>
      </c>
      <c r="D143" s="9">
        <v>91.08</v>
      </c>
      <c r="E143" t="str">
        <f t="shared" si="6"/>
        <v>High</v>
      </c>
    </row>
    <row r="144" spans="1:5" hidden="1" x14ac:dyDescent="0.2">
      <c r="A144" t="s">
        <v>175</v>
      </c>
      <c r="B144" s="15">
        <v>15.93</v>
      </c>
      <c r="D144" s="9">
        <v>100.73</v>
      </c>
    </row>
    <row r="145" spans="1:4" hidden="1" x14ac:dyDescent="0.2">
      <c r="A145" t="s">
        <v>176</v>
      </c>
      <c r="B145" s="15">
        <v>13</v>
      </c>
      <c r="C145">
        <v>72</v>
      </c>
      <c r="D145" s="9">
        <v>140.97999999999999</v>
      </c>
    </row>
    <row r="146" spans="1:4" hidden="1" x14ac:dyDescent="0.2">
      <c r="A146" t="s">
        <v>178</v>
      </c>
      <c r="B146" s="15">
        <v>13.06</v>
      </c>
      <c r="C146">
        <v>71.900000000000006</v>
      </c>
      <c r="D146" s="9">
        <v>133.68</v>
      </c>
    </row>
    <row r="147" spans="1:4" hidden="1" x14ac:dyDescent="0.2">
      <c r="A147" t="s">
        <v>179</v>
      </c>
      <c r="B147" s="15">
        <v>13.11</v>
      </c>
      <c r="C147">
        <v>70.900000000000006</v>
      </c>
      <c r="D147" s="9">
        <v>143.94</v>
      </c>
    </row>
    <row r="148" spans="1:4" hidden="1" x14ac:dyDescent="0.2">
      <c r="A148" t="s">
        <v>180</v>
      </c>
      <c r="B148" s="15">
        <v>13.33</v>
      </c>
      <c r="C148">
        <v>65.3</v>
      </c>
      <c r="D148" s="9">
        <v>142.30000000000001</v>
      </c>
    </row>
    <row r="149" spans="1:4" hidden="1" x14ac:dyDescent="0.2">
      <c r="A149" t="s">
        <v>181</v>
      </c>
      <c r="B149" s="15">
        <v>13.62</v>
      </c>
      <c r="C149">
        <v>64.900000000000006</v>
      </c>
      <c r="D149" s="9">
        <v>153.33000000000001</v>
      </c>
    </row>
    <row r="150" spans="1:4" hidden="1" x14ac:dyDescent="0.2">
      <c r="A150" t="s">
        <v>182</v>
      </c>
      <c r="B150" s="15">
        <v>13.82</v>
      </c>
      <c r="C150">
        <v>68.099999999999994</v>
      </c>
      <c r="D150" s="9">
        <v>127.34</v>
      </c>
    </row>
    <row r="151" spans="1:4" hidden="1" x14ac:dyDescent="0.2">
      <c r="A151" t="s">
        <v>183</v>
      </c>
      <c r="B151" s="15">
        <v>14.11</v>
      </c>
      <c r="C151">
        <v>62.4</v>
      </c>
      <c r="D151" s="9">
        <v>135.12</v>
      </c>
    </row>
    <row r="152" spans="1:4" hidden="1" x14ac:dyDescent="0.2">
      <c r="A152" t="s">
        <v>184</v>
      </c>
      <c r="B152" s="15">
        <v>14.31</v>
      </c>
      <c r="C152">
        <v>57.6</v>
      </c>
      <c r="D152" s="9">
        <v>108.02</v>
      </c>
    </row>
    <row r="153" spans="1:4" hidden="1" x14ac:dyDescent="0.2">
      <c r="A153" t="s">
        <v>185</v>
      </c>
      <c r="B153" s="15">
        <v>14.9</v>
      </c>
      <c r="D153" s="9">
        <v>107.87</v>
      </c>
    </row>
    <row r="154" spans="1:4" hidden="1" x14ac:dyDescent="0.2">
      <c r="A154" t="s">
        <v>186</v>
      </c>
      <c r="B154" s="15">
        <v>12.95</v>
      </c>
      <c r="C154">
        <v>73.099999999999994</v>
      </c>
      <c r="D154" s="9">
        <v>143.56</v>
      </c>
    </row>
    <row r="155" spans="1:4" hidden="1" x14ac:dyDescent="0.2">
      <c r="A155" t="s">
        <v>188</v>
      </c>
      <c r="B155" s="15">
        <v>13.11</v>
      </c>
      <c r="C155">
        <v>71</v>
      </c>
      <c r="D155" s="9">
        <v>140.57</v>
      </c>
    </row>
    <row r="156" spans="1:4" hidden="1" x14ac:dyDescent="0.2">
      <c r="A156" t="s">
        <v>189</v>
      </c>
      <c r="B156" s="15">
        <v>13.35</v>
      </c>
      <c r="C156">
        <v>67</v>
      </c>
      <c r="D156" s="9">
        <v>132.65</v>
      </c>
    </row>
    <row r="157" spans="1:4" hidden="1" x14ac:dyDescent="0.2">
      <c r="A157" t="s">
        <v>190</v>
      </c>
      <c r="B157" s="15">
        <v>13.56</v>
      </c>
      <c r="C157">
        <v>71.099999999999994</v>
      </c>
      <c r="D157" s="9">
        <v>120.91</v>
      </c>
    </row>
    <row r="158" spans="1:4" hidden="1" x14ac:dyDescent="0.2">
      <c r="A158" t="s">
        <v>191</v>
      </c>
      <c r="B158" s="15">
        <v>13.8</v>
      </c>
      <c r="C158">
        <v>73.900000000000006</v>
      </c>
      <c r="D158" s="9">
        <v>123.85</v>
      </c>
    </row>
    <row r="159" spans="1:4" hidden="1" x14ac:dyDescent="0.2">
      <c r="A159" t="s">
        <v>192</v>
      </c>
      <c r="B159" s="15">
        <v>14.14</v>
      </c>
      <c r="C159">
        <v>73.900000000000006</v>
      </c>
      <c r="D159" s="9">
        <v>127.85</v>
      </c>
    </row>
    <row r="160" spans="1:4" hidden="1" x14ac:dyDescent="0.2">
      <c r="A160" t="s">
        <v>193</v>
      </c>
      <c r="B160" s="15">
        <v>14.68</v>
      </c>
      <c r="C160">
        <v>66</v>
      </c>
      <c r="D160" s="9">
        <v>113.01</v>
      </c>
    </row>
    <row r="161" spans="1:5" x14ac:dyDescent="0.2">
      <c r="A161" t="s">
        <v>194</v>
      </c>
      <c r="B161" s="15">
        <v>15.03</v>
      </c>
      <c r="C161">
        <v>64.3</v>
      </c>
      <c r="D161" s="9">
        <v>101.85</v>
      </c>
      <c r="E161" t="str">
        <f>IF(C154&lt;65,"Low",IF(C154&lt;=70,"Medium","High"))</f>
        <v>High</v>
      </c>
    </row>
    <row r="162" spans="1:5" hidden="1" x14ac:dyDescent="0.2">
      <c r="A162" t="s">
        <v>195</v>
      </c>
      <c r="B162" s="15">
        <v>15.43</v>
      </c>
      <c r="D162" s="9">
        <v>106.83</v>
      </c>
    </row>
    <row r="163" spans="1:5" hidden="1" x14ac:dyDescent="0.2">
      <c r="A163" t="s">
        <v>196</v>
      </c>
      <c r="B163" s="15">
        <v>12.13</v>
      </c>
      <c r="C163">
        <v>72</v>
      </c>
      <c r="D163" s="9">
        <v>127.79</v>
      </c>
    </row>
    <row r="164" spans="1:5" hidden="1" x14ac:dyDescent="0.2">
      <c r="A164" t="s">
        <v>198</v>
      </c>
      <c r="B164" s="15">
        <v>12.19</v>
      </c>
      <c r="C164">
        <v>73.8</v>
      </c>
      <c r="D164" s="9">
        <v>131.6</v>
      </c>
    </row>
    <row r="165" spans="1:5" hidden="1" x14ac:dyDescent="0.2">
      <c r="A165" t="s">
        <v>199</v>
      </c>
      <c r="B165" s="15">
        <v>12.31</v>
      </c>
      <c r="C165">
        <v>72.3</v>
      </c>
      <c r="D165" s="9">
        <v>117.83</v>
      </c>
    </row>
    <row r="166" spans="1:5" hidden="1" x14ac:dyDescent="0.2">
      <c r="A166" t="s">
        <v>200</v>
      </c>
      <c r="B166" s="15">
        <v>12.49</v>
      </c>
      <c r="C166">
        <v>69</v>
      </c>
      <c r="D166" s="9">
        <v>107.06</v>
      </c>
    </row>
    <row r="167" spans="1:5" hidden="1" x14ac:dyDescent="0.2">
      <c r="A167" t="s">
        <v>201</v>
      </c>
      <c r="B167" s="15">
        <v>12.73</v>
      </c>
      <c r="C167">
        <v>68.099999999999994</v>
      </c>
      <c r="D167" s="9">
        <v>115.68</v>
      </c>
    </row>
    <row r="168" spans="1:5" hidden="1" x14ac:dyDescent="0.2">
      <c r="A168" t="s">
        <v>202</v>
      </c>
      <c r="B168" s="15">
        <v>13.24</v>
      </c>
      <c r="C168">
        <v>59.6</v>
      </c>
      <c r="D168" s="9">
        <v>96.04</v>
      </c>
    </row>
    <row r="169" spans="1:5" hidden="1" x14ac:dyDescent="0.2">
      <c r="A169" t="s">
        <v>203</v>
      </c>
      <c r="B169" s="15">
        <v>13.43</v>
      </c>
      <c r="C169">
        <v>58.4</v>
      </c>
      <c r="D169" s="9">
        <v>95.09</v>
      </c>
    </row>
    <row r="170" spans="1:5" hidden="1" x14ac:dyDescent="0.2">
      <c r="A170" t="s">
        <v>204</v>
      </c>
      <c r="B170" s="15">
        <v>14.49</v>
      </c>
      <c r="C170">
        <v>57.9</v>
      </c>
      <c r="D170" s="9">
        <v>74.64</v>
      </c>
    </row>
    <row r="171" spans="1:5" hidden="1" x14ac:dyDescent="0.2">
      <c r="A171" t="s">
        <v>205</v>
      </c>
      <c r="B171" s="15">
        <v>14.07</v>
      </c>
      <c r="D171" s="9">
        <v>95.5</v>
      </c>
    </row>
    <row r="172" spans="1:5" x14ac:dyDescent="0.2">
      <c r="A172" t="s">
        <v>206</v>
      </c>
      <c r="B172" s="15">
        <v>15.02</v>
      </c>
      <c r="C172">
        <v>77</v>
      </c>
      <c r="D172" s="9">
        <v>109.21</v>
      </c>
      <c r="E172" t="str">
        <f t="shared" ref="E172:E179" si="7">IF(C165&lt;65,"Low",IF(C165&lt;=70,"Medium","High"))</f>
        <v>High</v>
      </c>
    </row>
    <row r="173" spans="1:5" x14ac:dyDescent="0.2">
      <c r="A173" t="s">
        <v>208</v>
      </c>
      <c r="B173" s="15">
        <v>15.32</v>
      </c>
      <c r="C173">
        <v>66</v>
      </c>
      <c r="D173" s="9">
        <v>113.31</v>
      </c>
      <c r="E173" t="str">
        <f t="shared" si="7"/>
        <v>Medium</v>
      </c>
    </row>
    <row r="174" spans="1:5" x14ac:dyDescent="0.2">
      <c r="A174" t="s">
        <v>209</v>
      </c>
      <c r="B174" s="15">
        <v>15.5</v>
      </c>
      <c r="C174">
        <v>66.8</v>
      </c>
      <c r="D174" s="9">
        <v>120.55</v>
      </c>
      <c r="E174" t="str">
        <f t="shared" si="7"/>
        <v>Medium</v>
      </c>
    </row>
    <row r="175" spans="1:5" x14ac:dyDescent="0.2">
      <c r="A175" t="s">
        <v>210</v>
      </c>
      <c r="B175" s="15">
        <v>15.98</v>
      </c>
      <c r="C175">
        <v>68.400000000000006</v>
      </c>
      <c r="D175" s="9">
        <v>92.98</v>
      </c>
      <c r="E175" t="str">
        <f t="shared" si="7"/>
        <v>Low</v>
      </c>
    </row>
    <row r="176" spans="1:5" x14ac:dyDescent="0.2">
      <c r="A176" t="s">
        <v>211</v>
      </c>
      <c r="B176" s="15">
        <v>16.579999999999998</v>
      </c>
      <c r="C176">
        <v>66.5</v>
      </c>
      <c r="D176" s="9">
        <v>110.93</v>
      </c>
      <c r="E176" t="str">
        <f t="shared" si="7"/>
        <v>Low</v>
      </c>
    </row>
    <row r="177" spans="1:5" x14ac:dyDescent="0.2">
      <c r="A177" t="s">
        <v>212</v>
      </c>
      <c r="B177" s="15">
        <v>17.13</v>
      </c>
      <c r="C177">
        <v>69.3</v>
      </c>
      <c r="D177" s="9">
        <v>86.96</v>
      </c>
      <c r="E177" t="str">
        <f t="shared" si="7"/>
        <v>Low</v>
      </c>
    </row>
    <row r="178" spans="1:5" x14ac:dyDescent="0.2">
      <c r="A178" t="s">
        <v>213</v>
      </c>
      <c r="B178" s="15">
        <v>17.61</v>
      </c>
      <c r="C178">
        <v>67.2</v>
      </c>
      <c r="D178" s="9">
        <v>126.03</v>
      </c>
      <c r="E178" t="str">
        <f t="shared" si="7"/>
        <v>Low</v>
      </c>
    </row>
    <row r="179" spans="1:5" x14ac:dyDescent="0.2">
      <c r="A179" t="s">
        <v>214</v>
      </c>
      <c r="B179" s="15">
        <v>17.95</v>
      </c>
      <c r="C179">
        <v>68.7</v>
      </c>
      <c r="D179" s="9">
        <v>88.15</v>
      </c>
      <c r="E179" t="str">
        <f t="shared" si="7"/>
        <v>High</v>
      </c>
    </row>
    <row r="180" spans="1:5" hidden="1" x14ac:dyDescent="0.2">
      <c r="A180" t="s">
        <v>215</v>
      </c>
      <c r="B180" s="15">
        <v>18.68</v>
      </c>
      <c r="D180" s="9">
        <v>100.32</v>
      </c>
    </row>
    <row r="181" spans="1:5" hidden="1" x14ac:dyDescent="0.2">
      <c r="A181" t="s">
        <v>216</v>
      </c>
      <c r="B181" s="15">
        <v>11.76</v>
      </c>
      <c r="C181">
        <v>72.900000000000006</v>
      </c>
      <c r="D181" s="9">
        <v>111.82</v>
      </c>
    </row>
    <row r="182" spans="1:5" hidden="1" x14ac:dyDescent="0.2">
      <c r="A182" t="s">
        <v>218</v>
      </c>
      <c r="B182" s="15">
        <v>11.88</v>
      </c>
      <c r="C182">
        <v>69.7</v>
      </c>
      <c r="D182" s="9">
        <v>111.94</v>
      </c>
    </row>
    <row r="183" spans="1:5" hidden="1" x14ac:dyDescent="0.2">
      <c r="A183" t="s">
        <v>219</v>
      </c>
      <c r="B183" s="15">
        <v>12.14</v>
      </c>
      <c r="C183">
        <v>69.400000000000006</v>
      </c>
      <c r="D183" s="9">
        <v>123.9</v>
      </c>
    </row>
    <row r="184" spans="1:5" hidden="1" x14ac:dyDescent="0.2">
      <c r="A184" t="s">
        <v>220</v>
      </c>
      <c r="B184" s="15">
        <v>12.39</v>
      </c>
      <c r="C184">
        <v>71.900000000000006</v>
      </c>
      <c r="D184" s="9">
        <v>110.01</v>
      </c>
    </row>
    <row r="185" spans="1:5" hidden="1" x14ac:dyDescent="0.2">
      <c r="A185" t="s">
        <v>221</v>
      </c>
      <c r="B185" s="15">
        <v>12.65</v>
      </c>
      <c r="C185">
        <v>67.900000000000006</v>
      </c>
      <c r="D185" s="9">
        <v>125.05</v>
      </c>
    </row>
    <row r="186" spans="1:5" hidden="1" x14ac:dyDescent="0.2">
      <c r="A186" t="s">
        <v>222</v>
      </c>
      <c r="B186" s="15">
        <v>12.99</v>
      </c>
      <c r="C186">
        <v>66.599999999999994</v>
      </c>
      <c r="D186" s="9">
        <v>105.38</v>
      </c>
    </row>
    <row r="187" spans="1:5" hidden="1" x14ac:dyDescent="0.2">
      <c r="A187" t="s">
        <v>223</v>
      </c>
      <c r="B187" s="15">
        <v>13.29</v>
      </c>
      <c r="C187">
        <v>64.3</v>
      </c>
      <c r="D187" s="9">
        <v>126.12</v>
      </c>
    </row>
    <row r="188" spans="1:5" hidden="1" x14ac:dyDescent="0.2">
      <c r="A188" t="s">
        <v>224</v>
      </c>
      <c r="B188" s="15">
        <v>13.7</v>
      </c>
      <c r="C188">
        <v>71.8</v>
      </c>
      <c r="D188" s="9">
        <v>104.66</v>
      </c>
    </row>
    <row r="189" spans="1:5" hidden="1" x14ac:dyDescent="0.2">
      <c r="A189" t="s">
        <v>225</v>
      </c>
      <c r="B189" s="15">
        <v>14.13</v>
      </c>
      <c r="D189" s="9">
        <v>99.88</v>
      </c>
    </row>
    <row r="190" spans="1:5" hidden="1" x14ac:dyDescent="0.2">
      <c r="A190" t="s">
        <v>226</v>
      </c>
      <c r="B190" s="15">
        <v>13.35</v>
      </c>
      <c r="C190">
        <v>78.3</v>
      </c>
      <c r="D190" s="9">
        <v>135.56</v>
      </c>
    </row>
    <row r="191" spans="1:5" hidden="1" x14ac:dyDescent="0.2">
      <c r="A191" t="s">
        <v>228</v>
      </c>
      <c r="B191" s="15">
        <v>13.52</v>
      </c>
      <c r="C191">
        <v>73.400000000000006</v>
      </c>
      <c r="D191" s="9">
        <v>130.88</v>
      </c>
    </row>
    <row r="192" spans="1:5" hidden="1" x14ac:dyDescent="0.2">
      <c r="A192" t="s">
        <v>229</v>
      </c>
      <c r="B192" s="15">
        <v>13.75</v>
      </c>
      <c r="C192">
        <v>70</v>
      </c>
      <c r="D192" s="9">
        <v>140.69</v>
      </c>
    </row>
    <row r="193" spans="1:5" hidden="1" x14ac:dyDescent="0.2">
      <c r="A193" t="s">
        <v>230</v>
      </c>
      <c r="B193" s="15">
        <v>13.9</v>
      </c>
      <c r="C193">
        <v>70.599999999999994</v>
      </c>
      <c r="D193" s="9">
        <v>133.30000000000001</v>
      </c>
    </row>
    <row r="194" spans="1:5" hidden="1" x14ac:dyDescent="0.2">
      <c r="A194" t="s">
        <v>231</v>
      </c>
      <c r="B194" s="15">
        <v>14.16</v>
      </c>
      <c r="C194">
        <v>63.6</v>
      </c>
      <c r="D194" s="9">
        <v>148.96</v>
      </c>
    </row>
    <row r="195" spans="1:5" hidden="1" x14ac:dyDescent="0.2">
      <c r="A195" t="s">
        <v>232</v>
      </c>
      <c r="B195" s="15">
        <v>14.43</v>
      </c>
      <c r="C195">
        <v>67.3</v>
      </c>
      <c r="D195" s="9">
        <v>123.34</v>
      </c>
    </row>
    <row r="196" spans="1:5" hidden="1" x14ac:dyDescent="0.2">
      <c r="A196" t="s">
        <v>233</v>
      </c>
      <c r="B196" s="15">
        <v>14.67</v>
      </c>
      <c r="C196">
        <v>59.5</v>
      </c>
      <c r="D196" s="9">
        <v>140.27000000000001</v>
      </c>
    </row>
    <row r="197" spans="1:5" x14ac:dyDescent="0.2">
      <c r="A197" t="s">
        <v>234</v>
      </c>
      <c r="B197" s="15">
        <v>15.07</v>
      </c>
      <c r="C197">
        <v>59.3</v>
      </c>
      <c r="D197" s="9">
        <v>109.14</v>
      </c>
      <c r="E197" t="str">
        <f>IF(C190&lt;65,"Low",IF(C190&lt;=70,"Medium","High"))</f>
        <v>High</v>
      </c>
    </row>
    <row r="198" spans="1:5" hidden="1" x14ac:dyDescent="0.2">
      <c r="A198" t="s">
        <v>235</v>
      </c>
      <c r="B198" s="15">
        <v>15.45</v>
      </c>
      <c r="D198" s="9">
        <v>124.04</v>
      </c>
    </row>
    <row r="199" spans="1:5" hidden="1" x14ac:dyDescent="0.2">
      <c r="A199" t="s">
        <v>236</v>
      </c>
      <c r="B199" s="15">
        <v>12.83</v>
      </c>
      <c r="C199">
        <v>70.5</v>
      </c>
      <c r="D199" s="9">
        <v>100.52</v>
      </c>
    </row>
    <row r="200" spans="1:5" hidden="1" x14ac:dyDescent="0.2">
      <c r="A200" t="s">
        <v>238</v>
      </c>
      <c r="B200" s="15">
        <v>13.21</v>
      </c>
      <c r="C200">
        <v>65</v>
      </c>
      <c r="D200" s="9">
        <v>96.06</v>
      </c>
    </row>
    <row r="201" spans="1:5" hidden="1" x14ac:dyDescent="0.2">
      <c r="A201" t="s">
        <v>239</v>
      </c>
      <c r="B201" s="15">
        <v>13.51</v>
      </c>
      <c r="C201">
        <v>61.6</v>
      </c>
      <c r="D201" s="9">
        <v>108</v>
      </c>
    </row>
    <row r="202" spans="1:5" hidden="1" x14ac:dyDescent="0.2">
      <c r="A202" t="s">
        <v>240</v>
      </c>
      <c r="B202" s="15">
        <v>13.82</v>
      </c>
      <c r="C202">
        <v>61</v>
      </c>
      <c r="D202" s="9">
        <v>96.9</v>
      </c>
    </row>
    <row r="203" spans="1:5" hidden="1" x14ac:dyDescent="0.2">
      <c r="A203" t="s">
        <v>241</v>
      </c>
      <c r="B203" s="15">
        <v>14.17</v>
      </c>
      <c r="C203">
        <v>62.7</v>
      </c>
      <c r="D203" s="9">
        <v>111.93</v>
      </c>
    </row>
    <row r="204" spans="1:5" hidden="1" x14ac:dyDescent="0.2">
      <c r="A204" t="s">
        <v>242</v>
      </c>
      <c r="B204" s="15">
        <v>14.51</v>
      </c>
      <c r="C204">
        <v>65.7</v>
      </c>
      <c r="D204" s="9">
        <v>104.8</v>
      </c>
    </row>
    <row r="205" spans="1:5" hidden="1" x14ac:dyDescent="0.2">
      <c r="A205" t="s">
        <v>243</v>
      </c>
      <c r="B205" s="15">
        <v>14.93</v>
      </c>
      <c r="C205">
        <v>59.5</v>
      </c>
      <c r="D205" s="9">
        <v>109.44</v>
      </c>
    </row>
    <row r="206" spans="1:5" x14ac:dyDescent="0.2">
      <c r="A206" t="s">
        <v>244</v>
      </c>
      <c r="B206" s="15">
        <v>15.26</v>
      </c>
      <c r="C206">
        <v>62.6</v>
      </c>
      <c r="D206" s="9">
        <v>88.39</v>
      </c>
      <c r="E206" t="str">
        <f>IF(C199&lt;65,"Low",IF(C199&lt;=70,"Medium","High"))</f>
        <v>High</v>
      </c>
    </row>
    <row r="207" spans="1:5" hidden="1" x14ac:dyDescent="0.2">
      <c r="A207" t="s">
        <v>245</v>
      </c>
      <c r="B207" s="15">
        <v>15.71</v>
      </c>
      <c r="D207" s="9">
        <v>96.76</v>
      </c>
    </row>
    <row r="208" spans="1:5" hidden="1" x14ac:dyDescent="0.2">
      <c r="A208" t="s">
        <v>246</v>
      </c>
      <c r="B208" s="15">
        <v>12.39</v>
      </c>
      <c r="C208">
        <v>78</v>
      </c>
      <c r="D208" s="9">
        <v>80.34</v>
      </c>
    </row>
    <row r="209" spans="1:4" hidden="1" x14ac:dyDescent="0.2">
      <c r="A209" t="s">
        <v>248</v>
      </c>
      <c r="B209" s="15">
        <v>12.55</v>
      </c>
      <c r="C209">
        <v>70.7</v>
      </c>
      <c r="D209" s="9">
        <v>78.290000000000006</v>
      </c>
    </row>
    <row r="210" spans="1:4" hidden="1" x14ac:dyDescent="0.2">
      <c r="A210" t="s">
        <v>249</v>
      </c>
      <c r="B210" s="15">
        <v>12.59</v>
      </c>
      <c r="C210">
        <v>69.8</v>
      </c>
      <c r="D210" s="9">
        <v>87.91</v>
      </c>
    </row>
    <row r="211" spans="1:4" hidden="1" x14ac:dyDescent="0.2">
      <c r="A211" t="s">
        <v>250</v>
      </c>
      <c r="B211" s="15">
        <v>12.65</v>
      </c>
      <c r="C211">
        <v>71.2</v>
      </c>
      <c r="D211" s="9">
        <v>88.31</v>
      </c>
    </row>
    <row r="212" spans="1:4" hidden="1" x14ac:dyDescent="0.2">
      <c r="A212" t="s">
        <v>251</v>
      </c>
      <c r="B212" s="15">
        <v>13.89</v>
      </c>
      <c r="C212">
        <v>69.599999999999994</v>
      </c>
      <c r="D212" s="9">
        <v>80.36</v>
      </c>
    </row>
    <row r="213" spans="1:4" hidden="1" x14ac:dyDescent="0.2">
      <c r="A213" t="s">
        <v>252</v>
      </c>
      <c r="B213" s="15">
        <v>13.37</v>
      </c>
      <c r="C213">
        <v>69.900000000000006</v>
      </c>
      <c r="D213" s="9">
        <v>70.31</v>
      </c>
    </row>
    <row r="214" spans="1:4" hidden="1" x14ac:dyDescent="0.2">
      <c r="A214" t="s">
        <v>253</v>
      </c>
      <c r="B214" s="15">
        <v>13.85</v>
      </c>
      <c r="C214">
        <v>65.900000000000006</v>
      </c>
      <c r="D214" s="9">
        <v>83.39</v>
      </c>
    </row>
    <row r="215" spans="1:4" hidden="1" x14ac:dyDescent="0.2">
      <c r="A215" t="s">
        <v>254</v>
      </c>
      <c r="B215" s="15">
        <v>14.24</v>
      </c>
      <c r="C215">
        <v>69.599999999999994</v>
      </c>
      <c r="D215" s="9">
        <v>55.37</v>
      </c>
    </row>
    <row r="216" spans="1:4" hidden="1" x14ac:dyDescent="0.2">
      <c r="A216" t="s">
        <v>255</v>
      </c>
      <c r="B216" s="15">
        <v>14.56</v>
      </c>
      <c r="D216" s="9">
        <v>73.459999999999994</v>
      </c>
    </row>
    <row r="217" spans="1:4" hidden="1" x14ac:dyDescent="0.2">
      <c r="A217" t="s">
        <v>256</v>
      </c>
      <c r="B217" s="15">
        <v>12.54</v>
      </c>
      <c r="C217">
        <v>72.3</v>
      </c>
      <c r="D217" s="9">
        <v>120.95</v>
      </c>
    </row>
    <row r="218" spans="1:4" hidden="1" x14ac:dyDescent="0.2">
      <c r="A218" t="s">
        <v>258</v>
      </c>
      <c r="B218" s="15">
        <v>12.45</v>
      </c>
      <c r="C218">
        <v>69.900000000000006</v>
      </c>
      <c r="D218" s="9">
        <v>121.93</v>
      </c>
    </row>
    <row r="219" spans="1:4" hidden="1" x14ac:dyDescent="0.2">
      <c r="A219" t="s">
        <v>259</v>
      </c>
      <c r="B219" s="15">
        <v>12.8</v>
      </c>
      <c r="C219">
        <v>68.8</v>
      </c>
      <c r="D219" s="9">
        <v>126.69</v>
      </c>
    </row>
    <row r="220" spans="1:4" hidden="1" x14ac:dyDescent="0.2">
      <c r="A220" t="s">
        <v>260</v>
      </c>
      <c r="B220" s="15">
        <v>13.02</v>
      </c>
      <c r="C220">
        <v>67.3</v>
      </c>
      <c r="D220" s="9">
        <v>113.72</v>
      </c>
    </row>
    <row r="221" spans="1:4" hidden="1" x14ac:dyDescent="0.2">
      <c r="A221" t="s">
        <v>261</v>
      </c>
      <c r="B221" s="15">
        <v>13.38</v>
      </c>
      <c r="D221" s="9">
        <v>144.83000000000001</v>
      </c>
    </row>
    <row r="222" spans="1:4" hidden="1" x14ac:dyDescent="0.2">
      <c r="A222" t="s">
        <v>262</v>
      </c>
      <c r="B222" s="15">
        <v>13.99</v>
      </c>
      <c r="C222">
        <v>67.8</v>
      </c>
      <c r="D222" s="9">
        <v>130.35</v>
      </c>
    </row>
    <row r="223" spans="1:4" hidden="1" x14ac:dyDescent="0.2">
      <c r="A223" t="s">
        <v>263</v>
      </c>
      <c r="B223" s="15">
        <v>13.93</v>
      </c>
      <c r="C223">
        <v>66.3</v>
      </c>
      <c r="D223" s="9">
        <v>156.97999999999999</v>
      </c>
    </row>
    <row r="224" spans="1:4" hidden="1" x14ac:dyDescent="0.2">
      <c r="A224" t="s">
        <v>264</v>
      </c>
      <c r="B224" s="15">
        <v>14.43</v>
      </c>
      <c r="C224">
        <v>59.7</v>
      </c>
      <c r="D224" s="9">
        <v>140.24</v>
      </c>
    </row>
    <row r="225" spans="1:5" hidden="1" x14ac:dyDescent="0.2">
      <c r="A225" t="s">
        <v>265</v>
      </c>
      <c r="B225" s="15">
        <v>15.13</v>
      </c>
      <c r="D225" s="9">
        <v>144.33000000000001</v>
      </c>
    </row>
    <row r="226" spans="1:5" hidden="1" x14ac:dyDescent="0.2">
      <c r="A226" t="s">
        <v>266</v>
      </c>
      <c r="B226" s="15">
        <v>13.44</v>
      </c>
      <c r="C226">
        <v>69.900000000000006</v>
      </c>
      <c r="D226" s="9">
        <v>143.72</v>
      </c>
    </row>
    <row r="227" spans="1:5" hidden="1" x14ac:dyDescent="0.2">
      <c r="A227" t="s">
        <v>268</v>
      </c>
      <c r="B227" s="15">
        <v>13.75</v>
      </c>
      <c r="C227">
        <v>65.900000000000006</v>
      </c>
      <c r="D227" s="9">
        <v>124.34</v>
      </c>
    </row>
    <row r="228" spans="1:5" hidden="1" x14ac:dyDescent="0.2">
      <c r="A228" t="s">
        <v>269</v>
      </c>
      <c r="B228" s="15">
        <v>13.79</v>
      </c>
      <c r="C228">
        <v>70.8</v>
      </c>
      <c r="D228" s="9">
        <v>124.97</v>
      </c>
    </row>
    <row r="229" spans="1:5" hidden="1" x14ac:dyDescent="0.2">
      <c r="A229" t="s">
        <v>270</v>
      </c>
      <c r="B229" s="15">
        <v>14.09</v>
      </c>
      <c r="C229">
        <v>72.400000000000006</v>
      </c>
      <c r="D229" s="9">
        <v>122.16</v>
      </c>
    </row>
    <row r="230" spans="1:5" hidden="1" x14ac:dyDescent="0.2">
      <c r="A230" t="s">
        <v>271</v>
      </c>
      <c r="B230" s="15">
        <v>14.17</v>
      </c>
      <c r="C230">
        <v>72.599999999999994</v>
      </c>
      <c r="D230" s="9">
        <v>138.33000000000001</v>
      </c>
    </row>
    <row r="231" spans="1:5" hidden="1" x14ac:dyDescent="0.2">
      <c r="A231" t="s">
        <v>272</v>
      </c>
      <c r="B231" s="15">
        <v>14.64</v>
      </c>
      <c r="C231">
        <v>72.5</v>
      </c>
      <c r="D231" s="9">
        <v>118.96</v>
      </c>
    </row>
    <row r="232" spans="1:5" hidden="1" x14ac:dyDescent="0.2">
      <c r="A232" t="s">
        <v>273</v>
      </c>
      <c r="B232" s="15">
        <v>14.88</v>
      </c>
      <c r="C232">
        <v>69.8</v>
      </c>
      <c r="D232" s="9">
        <v>130.15</v>
      </c>
    </row>
    <row r="233" spans="1:5" x14ac:dyDescent="0.2">
      <c r="A233" t="s">
        <v>274</v>
      </c>
      <c r="B233" s="15">
        <v>15.29</v>
      </c>
      <c r="C233">
        <v>71.099999999999994</v>
      </c>
      <c r="D233" s="9">
        <v>101.06</v>
      </c>
      <c r="E233" t="str">
        <f>IF(C226&lt;65,"Low",IF(C226&lt;=70,"Medium","High"))</f>
        <v>Medium</v>
      </c>
    </row>
    <row r="234" spans="1:5" hidden="1" x14ac:dyDescent="0.2">
      <c r="A234" t="s">
        <v>275</v>
      </c>
      <c r="B234" s="15">
        <v>15.42</v>
      </c>
      <c r="D234" s="9">
        <v>122.09</v>
      </c>
    </row>
    <row r="235" spans="1:5" hidden="1" x14ac:dyDescent="0.2">
      <c r="A235" t="s">
        <v>276</v>
      </c>
      <c r="B235" s="15">
        <v>14.04</v>
      </c>
      <c r="C235">
        <v>71.599999999999994</v>
      </c>
      <c r="D235" s="9">
        <v>136.53</v>
      </c>
    </row>
    <row r="236" spans="1:5" hidden="1" x14ac:dyDescent="0.2">
      <c r="A236" t="s">
        <v>278</v>
      </c>
      <c r="B236" s="15">
        <v>14.29</v>
      </c>
      <c r="C236">
        <v>63</v>
      </c>
      <c r="D236" s="9">
        <v>143.56</v>
      </c>
    </row>
    <row r="237" spans="1:5" hidden="1" x14ac:dyDescent="0.2">
      <c r="A237" t="s">
        <v>279</v>
      </c>
      <c r="B237" s="15">
        <v>14.66</v>
      </c>
      <c r="C237">
        <v>59.8</v>
      </c>
      <c r="D237" s="9">
        <v>123.33</v>
      </c>
    </row>
    <row r="238" spans="1:5" x14ac:dyDescent="0.2">
      <c r="A238" t="s">
        <v>280</v>
      </c>
      <c r="B238" s="15">
        <v>15.15</v>
      </c>
      <c r="C238">
        <v>65.599999999999994</v>
      </c>
      <c r="D238" s="9">
        <v>127.59</v>
      </c>
      <c r="E238" t="str">
        <f t="shared" ref="E238:E242" si="8">IF(C231&lt;65,"Low",IF(C231&lt;=70,"Medium","High"))</f>
        <v>High</v>
      </c>
    </row>
    <row r="239" spans="1:5" x14ac:dyDescent="0.2">
      <c r="A239" t="s">
        <v>281</v>
      </c>
      <c r="B239" s="15">
        <v>15.32</v>
      </c>
      <c r="C239">
        <v>65.5</v>
      </c>
      <c r="D239" s="9">
        <v>145.68</v>
      </c>
      <c r="E239" t="str">
        <f t="shared" si="8"/>
        <v>Medium</v>
      </c>
    </row>
    <row r="240" spans="1:5" x14ac:dyDescent="0.2">
      <c r="A240" t="s">
        <v>282</v>
      </c>
      <c r="B240" s="15">
        <v>15.45</v>
      </c>
      <c r="C240">
        <v>67.5</v>
      </c>
      <c r="D240" s="9">
        <v>133.83000000000001</v>
      </c>
      <c r="E240" t="str">
        <f t="shared" si="8"/>
        <v>High</v>
      </c>
    </row>
    <row r="241" spans="1:5" x14ac:dyDescent="0.2">
      <c r="A241" t="s">
        <v>283</v>
      </c>
      <c r="B241" s="15">
        <v>16.41</v>
      </c>
      <c r="C241">
        <v>60.5</v>
      </c>
      <c r="D241" s="9">
        <v>115.34</v>
      </c>
      <c r="E241" t="str">
        <f t="shared" si="8"/>
        <v>Low</v>
      </c>
    </row>
    <row r="242" spans="1:5" x14ac:dyDescent="0.2">
      <c r="A242" t="s">
        <v>284</v>
      </c>
      <c r="B242" s="15">
        <v>16.62</v>
      </c>
      <c r="C242">
        <v>64.5</v>
      </c>
      <c r="D242" s="9">
        <v>98.42</v>
      </c>
      <c r="E242" t="str">
        <f t="shared" si="8"/>
        <v>High</v>
      </c>
    </row>
    <row r="243" spans="1:5" hidden="1" x14ac:dyDescent="0.2">
      <c r="A243" t="s">
        <v>285</v>
      </c>
      <c r="B243" s="15">
        <v>16.64</v>
      </c>
      <c r="D243" s="9">
        <v>128.71</v>
      </c>
    </row>
    <row r="244" spans="1:5" hidden="1" x14ac:dyDescent="0.2">
      <c r="A244" t="s">
        <v>286</v>
      </c>
      <c r="B244" s="15">
        <v>13.32</v>
      </c>
      <c r="C244">
        <v>76.8</v>
      </c>
      <c r="D244" s="9">
        <v>106.36</v>
      </c>
    </row>
    <row r="245" spans="1:5" hidden="1" x14ac:dyDescent="0.2">
      <c r="A245" t="s">
        <v>288</v>
      </c>
      <c r="B245" s="15">
        <v>13.41</v>
      </c>
      <c r="C245">
        <v>67.3</v>
      </c>
      <c r="D245" s="9">
        <v>106.64</v>
      </c>
    </row>
    <row r="246" spans="1:5" hidden="1" x14ac:dyDescent="0.2">
      <c r="A246" t="s">
        <v>289</v>
      </c>
      <c r="B246" s="15">
        <v>13.48</v>
      </c>
      <c r="C246">
        <v>67.099999999999994</v>
      </c>
      <c r="D246" s="9">
        <v>122.95</v>
      </c>
    </row>
    <row r="247" spans="1:5" hidden="1" x14ac:dyDescent="0.2">
      <c r="A247" t="s">
        <v>290</v>
      </c>
      <c r="B247" s="15">
        <v>13.41</v>
      </c>
      <c r="C247">
        <v>70.400000000000006</v>
      </c>
      <c r="D247" s="9">
        <v>115.77</v>
      </c>
    </row>
    <row r="248" spans="1:5" hidden="1" x14ac:dyDescent="0.2">
      <c r="A248" t="s">
        <v>291</v>
      </c>
      <c r="B248" s="15">
        <v>13.54</v>
      </c>
      <c r="C248">
        <v>69.900000000000006</v>
      </c>
      <c r="D248" s="9">
        <v>130.79</v>
      </c>
    </row>
    <row r="249" spans="1:5" hidden="1" x14ac:dyDescent="0.2">
      <c r="A249" t="s">
        <v>292</v>
      </c>
      <c r="B249" s="15">
        <v>14.07</v>
      </c>
      <c r="C249">
        <v>72.599999999999994</v>
      </c>
      <c r="D249" s="9">
        <v>112.87</v>
      </c>
    </row>
    <row r="250" spans="1:5" hidden="1" x14ac:dyDescent="0.2">
      <c r="A250" t="s">
        <v>293</v>
      </c>
      <c r="B250" s="15">
        <v>14.36</v>
      </c>
      <c r="C250">
        <v>64.599999999999994</v>
      </c>
      <c r="D250" s="9">
        <v>115.7</v>
      </c>
    </row>
    <row r="251" spans="1:5" hidden="1" x14ac:dyDescent="0.2">
      <c r="A251" t="s">
        <v>294</v>
      </c>
      <c r="B251" s="15">
        <v>14.61</v>
      </c>
      <c r="C251">
        <v>68.7</v>
      </c>
      <c r="D251" s="9">
        <v>104.08</v>
      </c>
    </row>
    <row r="252" spans="1:5" hidden="1" x14ac:dyDescent="0.2">
      <c r="A252" t="s">
        <v>295</v>
      </c>
      <c r="B252" s="15">
        <v>14.55</v>
      </c>
      <c r="D252" s="9">
        <v>127.98</v>
      </c>
    </row>
    <row r="253" spans="1:5" hidden="1" x14ac:dyDescent="0.2">
      <c r="A253" t="s">
        <v>296</v>
      </c>
      <c r="B253" s="15">
        <v>11.33</v>
      </c>
      <c r="C253">
        <v>64.2</v>
      </c>
      <c r="D253" s="9">
        <v>120.85</v>
      </c>
    </row>
    <row r="254" spans="1:5" hidden="1" x14ac:dyDescent="0.2">
      <c r="A254" t="s">
        <v>298</v>
      </c>
      <c r="B254" s="15">
        <v>11.46</v>
      </c>
      <c r="C254">
        <v>60.9</v>
      </c>
      <c r="D254" s="9">
        <v>105.55</v>
      </c>
    </row>
    <row r="255" spans="1:5" hidden="1" x14ac:dyDescent="0.2">
      <c r="A255" t="s">
        <v>299</v>
      </c>
      <c r="B255" s="15">
        <v>11.79</v>
      </c>
      <c r="C255">
        <v>52.2</v>
      </c>
      <c r="D255" s="9">
        <v>101.87</v>
      </c>
    </row>
    <row r="256" spans="1:5" hidden="1" x14ac:dyDescent="0.2">
      <c r="A256" t="s">
        <v>300</v>
      </c>
      <c r="B256" s="15">
        <v>12.2</v>
      </c>
      <c r="C256">
        <v>53</v>
      </c>
      <c r="D256" s="9">
        <v>112.26</v>
      </c>
    </row>
    <row r="257" spans="1:5" hidden="1" x14ac:dyDescent="0.2">
      <c r="A257" t="s">
        <v>301</v>
      </c>
      <c r="B257" s="15">
        <v>12.64</v>
      </c>
      <c r="C257">
        <v>53.6</v>
      </c>
      <c r="D257" s="9">
        <v>95.66</v>
      </c>
    </row>
    <row r="258" spans="1:5" hidden="1" x14ac:dyDescent="0.2">
      <c r="A258" t="s">
        <v>302</v>
      </c>
      <c r="B258" s="15">
        <v>13.18</v>
      </c>
      <c r="C258">
        <v>58.9</v>
      </c>
      <c r="D258" s="9">
        <v>137.53</v>
      </c>
    </row>
    <row r="259" spans="1:5" hidden="1" x14ac:dyDescent="0.2">
      <c r="A259" t="s">
        <v>303</v>
      </c>
      <c r="B259" s="15">
        <v>13.54</v>
      </c>
      <c r="C259">
        <v>59.6</v>
      </c>
      <c r="D259" s="9">
        <v>118.21</v>
      </c>
    </row>
    <row r="260" spans="1:5" hidden="1" x14ac:dyDescent="0.2">
      <c r="A260" t="s">
        <v>304</v>
      </c>
      <c r="B260" s="15">
        <v>14.37</v>
      </c>
      <c r="C260">
        <v>58.6</v>
      </c>
      <c r="D260" s="9">
        <v>90.22</v>
      </c>
    </row>
    <row r="261" spans="1:5" hidden="1" x14ac:dyDescent="0.2">
      <c r="A261" t="s">
        <v>305</v>
      </c>
      <c r="B261" s="15">
        <v>14.69</v>
      </c>
      <c r="D261" s="9">
        <v>105.29</v>
      </c>
    </row>
    <row r="262" spans="1:5" hidden="1" x14ac:dyDescent="0.2">
      <c r="A262" t="s">
        <v>306</v>
      </c>
      <c r="B262" s="15">
        <v>12.85</v>
      </c>
      <c r="C262">
        <v>77.900000000000006</v>
      </c>
      <c r="D262" s="9">
        <v>114.08</v>
      </c>
    </row>
    <row r="263" spans="1:5" hidden="1" x14ac:dyDescent="0.2">
      <c r="A263" t="s">
        <v>308</v>
      </c>
      <c r="B263" s="15">
        <v>12.97</v>
      </c>
      <c r="C263">
        <v>61.7</v>
      </c>
      <c r="D263" s="9">
        <v>118.89</v>
      </c>
    </row>
    <row r="264" spans="1:5" hidden="1" x14ac:dyDescent="0.2">
      <c r="A264" t="s">
        <v>309</v>
      </c>
      <c r="B264" s="15">
        <v>13.2</v>
      </c>
      <c r="C264">
        <v>62.9</v>
      </c>
      <c r="D264" s="9">
        <v>133.21</v>
      </c>
    </row>
    <row r="265" spans="1:5" hidden="1" x14ac:dyDescent="0.2">
      <c r="A265" t="s">
        <v>310</v>
      </c>
      <c r="B265" s="15">
        <v>13.74</v>
      </c>
      <c r="C265">
        <v>69.7</v>
      </c>
      <c r="D265" s="9">
        <v>126.13</v>
      </c>
    </row>
    <row r="266" spans="1:5" hidden="1" x14ac:dyDescent="0.2">
      <c r="A266" t="s">
        <v>311</v>
      </c>
      <c r="B266" s="15">
        <v>14.17</v>
      </c>
      <c r="C266">
        <v>64.5</v>
      </c>
      <c r="D266" s="9">
        <v>119.88</v>
      </c>
    </row>
    <row r="267" spans="1:5" hidden="1" x14ac:dyDescent="0.2">
      <c r="A267" t="s">
        <v>312</v>
      </c>
      <c r="B267" s="15">
        <v>14.57</v>
      </c>
      <c r="C267">
        <v>67.8</v>
      </c>
      <c r="D267" s="9">
        <v>106.59</v>
      </c>
    </row>
    <row r="268" spans="1:5" hidden="1" x14ac:dyDescent="0.2">
      <c r="A268" t="s">
        <v>313</v>
      </c>
      <c r="B268" s="15">
        <v>14.8</v>
      </c>
      <c r="C268">
        <v>69.400000000000006</v>
      </c>
      <c r="D268" s="9">
        <v>141.97</v>
      </c>
    </row>
    <row r="269" spans="1:5" x14ac:dyDescent="0.2">
      <c r="A269" t="s">
        <v>314</v>
      </c>
      <c r="B269" s="15">
        <v>15.86</v>
      </c>
      <c r="C269">
        <v>65.599999999999994</v>
      </c>
      <c r="D269" s="9">
        <v>89.78</v>
      </c>
      <c r="E269" t="str">
        <f>IF(C262&lt;65,"Low",IF(C262&lt;=70,"Medium","High"))</f>
        <v>High</v>
      </c>
    </row>
    <row r="270" spans="1:5" hidden="1" x14ac:dyDescent="0.2">
      <c r="A270" t="s">
        <v>315</v>
      </c>
      <c r="B270" s="15">
        <v>16.38</v>
      </c>
      <c r="D270" s="9">
        <v>101.42</v>
      </c>
    </row>
    <row r="271" spans="1:5" hidden="1" x14ac:dyDescent="0.2">
      <c r="A271" t="s">
        <v>316</v>
      </c>
      <c r="B271" s="15">
        <v>13.19</v>
      </c>
      <c r="C271">
        <v>67.8</v>
      </c>
      <c r="D271" s="9">
        <v>95.67</v>
      </c>
    </row>
    <row r="272" spans="1:5" hidden="1" x14ac:dyDescent="0.2">
      <c r="A272" t="s">
        <v>318</v>
      </c>
      <c r="B272" s="15">
        <v>13.25</v>
      </c>
      <c r="C272">
        <v>66.5</v>
      </c>
      <c r="D272" s="9">
        <v>81.91</v>
      </c>
    </row>
    <row r="273" spans="1:5" hidden="1" x14ac:dyDescent="0.2">
      <c r="A273" t="s">
        <v>319</v>
      </c>
      <c r="B273" s="15">
        <v>13.41</v>
      </c>
      <c r="C273">
        <v>63.5</v>
      </c>
      <c r="D273" s="9">
        <v>86.61</v>
      </c>
    </row>
    <row r="274" spans="1:5" hidden="1" x14ac:dyDescent="0.2">
      <c r="A274" t="s">
        <v>320</v>
      </c>
      <c r="B274" s="15">
        <v>13.62</v>
      </c>
      <c r="C274">
        <v>63.6</v>
      </c>
      <c r="D274" s="9">
        <v>80.94</v>
      </c>
    </row>
    <row r="275" spans="1:5" hidden="1" x14ac:dyDescent="0.2">
      <c r="A275" t="s">
        <v>321</v>
      </c>
      <c r="B275" s="15">
        <v>13.83</v>
      </c>
      <c r="C275">
        <v>65</v>
      </c>
      <c r="D275" s="9">
        <v>95.27</v>
      </c>
    </row>
    <row r="276" spans="1:5" hidden="1" x14ac:dyDescent="0.2">
      <c r="A276" t="s">
        <v>322</v>
      </c>
      <c r="B276" s="15">
        <v>14.06</v>
      </c>
      <c r="C276">
        <v>64.7</v>
      </c>
      <c r="D276" s="9">
        <v>83.3</v>
      </c>
    </row>
    <row r="277" spans="1:5" hidden="1" x14ac:dyDescent="0.2">
      <c r="A277" t="s">
        <v>323</v>
      </c>
      <c r="B277" s="15">
        <v>14.37</v>
      </c>
      <c r="C277">
        <v>63.6</v>
      </c>
      <c r="D277" s="9">
        <v>96.42</v>
      </c>
    </row>
    <row r="278" spans="1:5" hidden="1" x14ac:dyDescent="0.2">
      <c r="A278" t="s">
        <v>324</v>
      </c>
      <c r="B278" s="15">
        <v>14.71</v>
      </c>
      <c r="C278">
        <v>65.5</v>
      </c>
      <c r="D278" s="9">
        <v>79.13</v>
      </c>
    </row>
    <row r="279" spans="1:5" hidden="1" x14ac:dyDescent="0.2">
      <c r="A279" t="s">
        <v>325</v>
      </c>
      <c r="B279" s="15">
        <v>15.02</v>
      </c>
      <c r="D279" s="9">
        <v>83.1</v>
      </c>
    </row>
    <row r="280" spans="1:5" hidden="1" x14ac:dyDescent="0.2">
      <c r="A280" t="s">
        <v>326</v>
      </c>
      <c r="B280" s="15">
        <v>12.65</v>
      </c>
      <c r="C280">
        <v>76.5</v>
      </c>
      <c r="D280" s="9">
        <v>95.71</v>
      </c>
    </row>
    <row r="281" spans="1:5" hidden="1" x14ac:dyDescent="0.2">
      <c r="A281" t="s">
        <v>328</v>
      </c>
      <c r="B281" s="15">
        <v>12.71</v>
      </c>
      <c r="C281">
        <v>63.9</v>
      </c>
      <c r="D281" s="9">
        <v>92.97</v>
      </c>
    </row>
    <row r="282" spans="1:5" hidden="1" x14ac:dyDescent="0.2">
      <c r="A282" t="s">
        <v>329</v>
      </c>
      <c r="B282" s="15">
        <v>13.01</v>
      </c>
      <c r="C282">
        <v>62</v>
      </c>
      <c r="D282" s="9">
        <v>102.99</v>
      </c>
    </row>
    <row r="283" spans="1:5" hidden="1" x14ac:dyDescent="0.2">
      <c r="A283" t="s">
        <v>330</v>
      </c>
      <c r="B283" s="15">
        <v>13.21</v>
      </c>
      <c r="C283">
        <v>61.5</v>
      </c>
      <c r="D283" s="9">
        <v>85.93</v>
      </c>
    </row>
    <row r="284" spans="1:5" hidden="1" x14ac:dyDescent="0.2">
      <c r="A284" t="s">
        <v>331</v>
      </c>
      <c r="B284" s="15">
        <v>13.7</v>
      </c>
      <c r="C284">
        <v>58.4</v>
      </c>
      <c r="D284" s="9">
        <v>96.73</v>
      </c>
    </row>
    <row r="285" spans="1:5" hidden="1" x14ac:dyDescent="0.2">
      <c r="A285" t="s">
        <v>332</v>
      </c>
      <c r="B285" s="15">
        <v>14.11</v>
      </c>
      <c r="C285">
        <v>66</v>
      </c>
      <c r="D285" s="9">
        <v>86.71</v>
      </c>
    </row>
    <row r="286" spans="1:5" hidden="1" x14ac:dyDescent="0.2">
      <c r="A286" t="s">
        <v>333</v>
      </c>
      <c r="B286" s="15">
        <v>14.5</v>
      </c>
      <c r="C286">
        <v>58.1</v>
      </c>
      <c r="D286" s="9">
        <v>85.69</v>
      </c>
    </row>
    <row r="287" spans="1:5" x14ac:dyDescent="0.2">
      <c r="A287" t="s">
        <v>334</v>
      </c>
      <c r="B287" s="15">
        <v>15.08</v>
      </c>
      <c r="C287">
        <v>65</v>
      </c>
      <c r="D287" s="9">
        <v>77.27</v>
      </c>
      <c r="E287" t="str">
        <f>IF(C280&lt;65,"Low",IF(C280&lt;=70,"Medium","High"))</f>
        <v>High</v>
      </c>
    </row>
    <row r="288" spans="1:5" hidden="1" x14ac:dyDescent="0.2">
      <c r="A288" t="s">
        <v>335</v>
      </c>
      <c r="B288" s="15">
        <v>15.43</v>
      </c>
      <c r="D288" s="9">
        <v>77.16</v>
      </c>
    </row>
    <row r="289" spans="1:4" hidden="1" x14ac:dyDescent="0.2">
      <c r="A289" t="s">
        <v>336</v>
      </c>
      <c r="B289" s="15">
        <v>13.19</v>
      </c>
      <c r="C289">
        <v>73.900000000000006</v>
      </c>
      <c r="D289" s="9">
        <v>151.35</v>
      </c>
    </row>
    <row r="290" spans="1:4" hidden="1" x14ac:dyDescent="0.2">
      <c r="A290" t="s">
        <v>338</v>
      </c>
      <c r="B290" s="15">
        <v>13.29</v>
      </c>
      <c r="C290">
        <v>67.599999999999994</v>
      </c>
      <c r="D290" s="9">
        <v>159</v>
      </c>
    </row>
    <row r="291" spans="1:4" hidden="1" x14ac:dyDescent="0.2">
      <c r="A291" t="s">
        <v>339</v>
      </c>
      <c r="B291" s="15">
        <v>13.46</v>
      </c>
      <c r="C291">
        <v>62.5</v>
      </c>
      <c r="D291" s="9">
        <v>164.98</v>
      </c>
    </row>
    <row r="292" spans="1:4" hidden="1" x14ac:dyDescent="0.2">
      <c r="A292" t="s">
        <v>340</v>
      </c>
      <c r="B292" s="15">
        <v>13.59</v>
      </c>
      <c r="C292">
        <v>68.3</v>
      </c>
      <c r="D292" s="9">
        <v>147.53</v>
      </c>
    </row>
    <row r="293" spans="1:4" hidden="1" x14ac:dyDescent="0.2">
      <c r="A293" t="s">
        <v>341</v>
      </c>
      <c r="B293" s="15">
        <v>13.85</v>
      </c>
      <c r="C293">
        <v>65.5</v>
      </c>
      <c r="D293" s="9">
        <v>158.59</v>
      </c>
    </row>
    <row r="294" spans="1:4" hidden="1" x14ac:dyDescent="0.2">
      <c r="A294" t="s">
        <v>342</v>
      </c>
      <c r="B294" s="15">
        <v>14.07</v>
      </c>
      <c r="C294">
        <v>66.5</v>
      </c>
      <c r="D294" s="9">
        <v>145.82</v>
      </c>
    </row>
    <row r="295" spans="1:4" hidden="1" x14ac:dyDescent="0.2">
      <c r="A295" t="s">
        <v>343</v>
      </c>
      <c r="B295" s="15">
        <v>14.3</v>
      </c>
      <c r="C295">
        <v>66</v>
      </c>
      <c r="D295" s="9">
        <v>153.37</v>
      </c>
    </row>
    <row r="296" spans="1:4" hidden="1" x14ac:dyDescent="0.2">
      <c r="A296" t="s">
        <v>344</v>
      </c>
      <c r="B296" s="15">
        <v>14.7</v>
      </c>
      <c r="C296">
        <v>67.099999999999994</v>
      </c>
      <c r="D296" s="9">
        <v>134.22999999999999</v>
      </c>
    </row>
    <row r="297" spans="1:4" hidden="1" x14ac:dyDescent="0.2">
      <c r="A297" t="s">
        <v>345</v>
      </c>
      <c r="B297" s="15">
        <v>15.13</v>
      </c>
      <c r="D297" s="9">
        <v>131.33000000000001</v>
      </c>
    </row>
    <row r="298" spans="1:4" hidden="1" x14ac:dyDescent="0.2">
      <c r="A298" t="s">
        <v>346</v>
      </c>
      <c r="B298" s="15">
        <v>12.38</v>
      </c>
      <c r="C298">
        <v>74.400000000000006</v>
      </c>
      <c r="D298" s="9">
        <v>128.78</v>
      </c>
    </row>
    <row r="299" spans="1:4" hidden="1" x14ac:dyDescent="0.2">
      <c r="A299" t="s">
        <v>348</v>
      </c>
      <c r="B299" s="15">
        <v>12.59</v>
      </c>
      <c r="C299">
        <v>71.3</v>
      </c>
      <c r="D299" s="9">
        <v>123.16</v>
      </c>
    </row>
    <row r="300" spans="1:4" hidden="1" x14ac:dyDescent="0.2">
      <c r="A300" t="s">
        <v>349</v>
      </c>
      <c r="B300" s="15">
        <v>12.72</v>
      </c>
      <c r="C300">
        <v>71.599999999999994</v>
      </c>
      <c r="D300" s="9">
        <v>113.31</v>
      </c>
    </row>
    <row r="301" spans="1:4" hidden="1" x14ac:dyDescent="0.2">
      <c r="A301" t="s">
        <v>350</v>
      </c>
      <c r="B301" s="15">
        <v>12.98</v>
      </c>
      <c r="C301">
        <v>72.8</v>
      </c>
      <c r="D301" s="9">
        <v>129.94</v>
      </c>
    </row>
    <row r="302" spans="1:4" hidden="1" x14ac:dyDescent="0.2">
      <c r="A302" t="s">
        <v>351</v>
      </c>
      <c r="B302" s="15">
        <v>13.38</v>
      </c>
      <c r="C302">
        <v>72.5</v>
      </c>
      <c r="D302" s="9">
        <v>120.04</v>
      </c>
    </row>
    <row r="303" spans="1:4" hidden="1" x14ac:dyDescent="0.2">
      <c r="A303" t="s">
        <v>352</v>
      </c>
      <c r="B303" s="15">
        <v>13.87</v>
      </c>
      <c r="C303">
        <v>76.8</v>
      </c>
      <c r="D303" s="9">
        <v>108.7</v>
      </c>
    </row>
    <row r="304" spans="1:4" hidden="1" x14ac:dyDescent="0.2">
      <c r="A304" t="s">
        <v>353</v>
      </c>
      <c r="B304" s="15">
        <v>14.06</v>
      </c>
      <c r="C304">
        <v>68.599999999999994</v>
      </c>
      <c r="D304" s="9">
        <v>131.68</v>
      </c>
    </row>
    <row r="305" spans="1:5" hidden="1" x14ac:dyDescent="0.2">
      <c r="A305" t="s">
        <v>354</v>
      </c>
      <c r="B305" s="15">
        <v>14.41</v>
      </c>
      <c r="C305">
        <v>72.099999999999994</v>
      </c>
      <c r="D305" s="9">
        <v>109.87</v>
      </c>
    </row>
    <row r="306" spans="1:5" hidden="1" x14ac:dyDescent="0.2">
      <c r="A306" t="s">
        <v>355</v>
      </c>
      <c r="B306" s="15">
        <v>15.07</v>
      </c>
      <c r="D306" s="9">
        <v>109.4</v>
      </c>
    </row>
    <row r="307" spans="1:5" hidden="1" x14ac:dyDescent="0.2">
      <c r="A307" t="s">
        <v>356</v>
      </c>
      <c r="B307" s="15">
        <v>14.51</v>
      </c>
      <c r="C307">
        <v>68.900000000000006</v>
      </c>
      <c r="D307" s="9">
        <v>192.13</v>
      </c>
    </row>
    <row r="308" spans="1:5" hidden="1" x14ac:dyDescent="0.2">
      <c r="A308" t="s">
        <v>358</v>
      </c>
      <c r="B308" s="15">
        <v>14.88</v>
      </c>
      <c r="C308">
        <v>63.3</v>
      </c>
      <c r="D308" s="9">
        <v>197.26</v>
      </c>
    </row>
    <row r="309" spans="1:5" x14ac:dyDescent="0.2">
      <c r="A309" t="s">
        <v>359</v>
      </c>
      <c r="B309" s="15">
        <v>15.27</v>
      </c>
      <c r="C309">
        <v>65</v>
      </c>
      <c r="D309" s="9">
        <v>129.43</v>
      </c>
      <c r="E309" t="str">
        <f>IF(C302&lt;65,"Low",IF(C302&lt;=70,"Medium","High"))</f>
        <v>High</v>
      </c>
    </row>
    <row r="310" spans="1:5" hidden="1" x14ac:dyDescent="0.2">
      <c r="A310" t="s">
        <v>360</v>
      </c>
      <c r="B310" s="15">
        <v>14.71</v>
      </c>
      <c r="C310">
        <v>65.400000000000006</v>
      </c>
      <c r="D310" s="9">
        <v>167.38</v>
      </c>
    </row>
    <row r="311" spans="1:5" hidden="1" x14ac:dyDescent="0.2">
      <c r="A311" t="s">
        <v>361</v>
      </c>
      <c r="B311" s="15">
        <v>14.46</v>
      </c>
      <c r="C311">
        <v>63.6</v>
      </c>
      <c r="D311" s="9">
        <v>166.92</v>
      </c>
    </row>
    <row r="312" spans="1:5" hidden="1" x14ac:dyDescent="0.2">
      <c r="A312" t="s">
        <v>362</v>
      </c>
      <c r="B312" s="15">
        <v>14.32</v>
      </c>
      <c r="C312">
        <v>66.400000000000006</v>
      </c>
      <c r="D312" s="9">
        <v>200.56</v>
      </c>
    </row>
    <row r="313" spans="1:5" hidden="1" x14ac:dyDescent="0.2">
      <c r="A313" t="s">
        <v>363</v>
      </c>
      <c r="B313" s="15">
        <v>14.41</v>
      </c>
      <c r="C313">
        <v>64</v>
      </c>
      <c r="D313" s="9">
        <v>180.95</v>
      </c>
    </row>
    <row r="314" spans="1:5" hidden="1" x14ac:dyDescent="0.2">
      <c r="A314" t="s">
        <v>364</v>
      </c>
      <c r="B314" s="15">
        <v>14.79</v>
      </c>
      <c r="C314">
        <v>65.7</v>
      </c>
      <c r="D314" s="9">
        <v>175.32</v>
      </c>
    </row>
    <row r="315" spans="1:5" hidden="1" x14ac:dyDescent="0.2">
      <c r="A315" t="s">
        <v>365</v>
      </c>
      <c r="B315" s="15">
        <v>15.13</v>
      </c>
      <c r="D315" s="9">
        <v>128.27000000000001</v>
      </c>
    </row>
    <row r="316" spans="1:5" hidden="1" x14ac:dyDescent="0.2">
      <c r="A316" t="s">
        <v>366</v>
      </c>
      <c r="B316" s="15">
        <v>13.6</v>
      </c>
      <c r="C316">
        <v>69.5</v>
      </c>
      <c r="D316" s="9">
        <v>105.31</v>
      </c>
    </row>
    <row r="317" spans="1:5" hidden="1" x14ac:dyDescent="0.2">
      <c r="A317" t="s">
        <v>368</v>
      </c>
      <c r="B317" s="15">
        <v>13.73</v>
      </c>
      <c r="C317">
        <v>63.7</v>
      </c>
      <c r="D317" s="9">
        <v>105.37</v>
      </c>
    </row>
    <row r="318" spans="1:5" hidden="1" x14ac:dyDescent="0.2">
      <c r="A318" t="s">
        <v>369</v>
      </c>
      <c r="B318" s="15">
        <v>13.93</v>
      </c>
      <c r="C318">
        <v>68.099999999999994</v>
      </c>
      <c r="D318" s="9">
        <v>118.01</v>
      </c>
    </row>
    <row r="319" spans="1:5" hidden="1" x14ac:dyDescent="0.2">
      <c r="A319" t="s">
        <v>370</v>
      </c>
      <c r="B319" s="15">
        <v>14.19</v>
      </c>
      <c r="C319">
        <v>63.9</v>
      </c>
      <c r="D319" s="9">
        <v>114.99</v>
      </c>
    </row>
    <row r="320" spans="1:5" hidden="1" x14ac:dyDescent="0.2">
      <c r="A320" t="s">
        <v>371</v>
      </c>
      <c r="B320" s="15">
        <v>14.41</v>
      </c>
      <c r="C320">
        <v>62.9</v>
      </c>
      <c r="D320" s="9">
        <v>124.18</v>
      </c>
    </row>
    <row r="321" spans="1:5" hidden="1" x14ac:dyDescent="0.2">
      <c r="A321" t="s">
        <v>372</v>
      </c>
      <c r="B321" s="15">
        <v>14.75</v>
      </c>
      <c r="C321">
        <v>62.6</v>
      </c>
      <c r="D321" s="9">
        <v>117.51</v>
      </c>
    </row>
    <row r="322" spans="1:5" x14ac:dyDescent="0.2">
      <c r="A322" t="s">
        <v>373</v>
      </c>
      <c r="B322" s="15">
        <v>15.13</v>
      </c>
      <c r="C322">
        <v>61.2</v>
      </c>
      <c r="D322" s="9">
        <v>124.21</v>
      </c>
      <c r="E322" t="str">
        <f t="shared" ref="E322:E323" si="9">IF(C315&lt;65,"Low",IF(C315&lt;=70,"Medium","High"))</f>
        <v>Low</v>
      </c>
    </row>
    <row r="323" spans="1:5" x14ac:dyDescent="0.2">
      <c r="A323" t="s">
        <v>374</v>
      </c>
      <c r="B323" s="15">
        <v>15.57</v>
      </c>
      <c r="C323">
        <v>67.599999999999994</v>
      </c>
      <c r="D323" s="9">
        <v>97.72</v>
      </c>
      <c r="E323" t="str">
        <f t="shared" si="9"/>
        <v>Medium</v>
      </c>
    </row>
    <row r="324" spans="1:5" hidden="1" x14ac:dyDescent="0.2">
      <c r="A324" t="s">
        <v>375</v>
      </c>
      <c r="B324" s="15">
        <v>15.87</v>
      </c>
      <c r="D324" s="9">
        <v>105.22</v>
      </c>
    </row>
    <row r="325" spans="1:5" hidden="1" x14ac:dyDescent="0.2">
      <c r="A325" t="s">
        <v>376</v>
      </c>
      <c r="B325" s="15">
        <v>13.33</v>
      </c>
      <c r="C325">
        <v>72.099999999999994</v>
      </c>
      <c r="D325" s="9">
        <v>137.25</v>
      </c>
    </row>
    <row r="326" spans="1:5" hidden="1" x14ac:dyDescent="0.2">
      <c r="A326" t="s">
        <v>378</v>
      </c>
      <c r="B326" s="15">
        <v>13.29</v>
      </c>
      <c r="C326">
        <v>67.400000000000006</v>
      </c>
      <c r="D326" s="9">
        <v>127.59</v>
      </c>
    </row>
    <row r="327" spans="1:5" hidden="1" x14ac:dyDescent="0.2">
      <c r="A327" t="s">
        <v>379</v>
      </c>
      <c r="B327" s="15">
        <v>13.28</v>
      </c>
      <c r="C327">
        <v>71.3</v>
      </c>
      <c r="D327" s="9">
        <v>143.6</v>
      </c>
    </row>
    <row r="328" spans="1:5" hidden="1" x14ac:dyDescent="0.2">
      <c r="A328" t="s">
        <v>380</v>
      </c>
      <c r="B328" s="15">
        <v>13.57</v>
      </c>
      <c r="C328">
        <v>71.599999999999994</v>
      </c>
      <c r="D328" s="9">
        <v>84.65</v>
      </c>
    </row>
    <row r="329" spans="1:5" hidden="1" x14ac:dyDescent="0.2">
      <c r="A329" t="s">
        <v>381</v>
      </c>
      <c r="B329" s="15">
        <v>13.89</v>
      </c>
      <c r="C329">
        <v>69.099999999999994</v>
      </c>
      <c r="D329" s="9">
        <v>106.56</v>
      </c>
    </row>
    <row r="330" spans="1:5" hidden="1" x14ac:dyDescent="0.2">
      <c r="A330" t="s">
        <v>382</v>
      </c>
      <c r="B330" s="15">
        <v>14.05</v>
      </c>
      <c r="C330">
        <v>72.2</v>
      </c>
      <c r="D330" s="9">
        <v>97.27</v>
      </c>
    </row>
    <row r="331" spans="1:5" hidden="1" x14ac:dyDescent="0.2">
      <c r="A331" t="s">
        <v>383</v>
      </c>
      <c r="B331" s="15">
        <v>14.52</v>
      </c>
      <c r="C331">
        <v>68.7</v>
      </c>
      <c r="D331" s="9">
        <v>94.87</v>
      </c>
    </row>
    <row r="332" spans="1:5" hidden="1" x14ac:dyDescent="0.2">
      <c r="A332" t="s">
        <v>384</v>
      </c>
      <c r="B332" s="15">
        <v>14.55</v>
      </c>
      <c r="C332">
        <v>69.3</v>
      </c>
      <c r="D332" s="9">
        <v>72.11</v>
      </c>
    </row>
    <row r="333" spans="1:5" hidden="1" x14ac:dyDescent="0.2">
      <c r="A333" t="s">
        <v>385</v>
      </c>
      <c r="B333" s="15">
        <v>14.66</v>
      </c>
      <c r="D333" s="9">
        <v>82.22</v>
      </c>
    </row>
    <row r="334" spans="1:5" hidden="1" x14ac:dyDescent="0.2">
      <c r="A334" t="s">
        <v>386</v>
      </c>
      <c r="B334" s="15">
        <v>13.21</v>
      </c>
      <c r="C334">
        <v>71.599999999999994</v>
      </c>
      <c r="D334" s="9">
        <v>77.92</v>
      </c>
    </row>
    <row r="335" spans="1:5" hidden="1" x14ac:dyDescent="0.2">
      <c r="A335" t="s">
        <v>388</v>
      </c>
      <c r="B335" s="15">
        <v>13.51</v>
      </c>
      <c r="C335">
        <v>60.7</v>
      </c>
      <c r="D335" s="9">
        <v>69.91</v>
      </c>
    </row>
    <row r="336" spans="1:5" hidden="1" x14ac:dyDescent="0.2">
      <c r="A336" t="s">
        <v>389</v>
      </c>
      <c r="B336" s="15">
        <v>13.61</v>
      </c>
      <c r="C336">
        <v>58</v>
      </c>
      <c r="D336" s="9">
        <v>65.930000000000007</v>
      </c>
    </row>
    <row r="337" spans="1:5" hidden="1" x14ac:dyDescent="0.2">
      <c r="A337" t="s">
        <v>390</v>
      </c>
      <c r="B337" s="15">
        <v>13.76</v>
      </c>
      <c r="C337">
        <v>61.3</v>
      </c>
      <c r="D337" s="9">
        <v>60.07</v>
      </c>
    </row>
    <row r="338" spans="1:5" hidden="1" x14ac:dyDescent="0.2">
      <c r="A338" t="s">
        <v>391</v>
      </c>
      <c r="B338" s="15">
        <v>14.33</v>
      </c>
      <c r="C338">
        <v>58.9</v>
      </c>
      <c r="D338" s="9">
        <v>70.23</v>
      </c>
    </row>
    <row r="339" spans="1:5" hidden="1" x14ac:dyDescent="0.2">
      <c r="A339" t="s">
        <v>392</v>
      </c>
      <c r="B339" s="15">
        <v>14.83</v>
      </c>
      <c r="C339">
        <v>60</v>
      </c>
      <c r="D339" s="9">
        <v>57.36</v>
      </c>
    </row>
    <row r="340" spans="1:5" x14ac:dyDescent="0.2">
      <c r="A340" t="s">
        <v>393</v>
      </c>
      <c r="B340" s="15">
        <v>15.2</v>
      </c>
      <c r="C340">
        <v>55.8</v>
      </c>
      <c r="D340" s="9">
        <v>64.11</v>
      </c>
      <c r="E340" t="str">
        <f t="shared" ref="E340:E341" si="10">IF(C333&lt;65,"Low",IF(C333&lt;=70,"Medium","High"))</f>
        <v>Low</v>
      </c>
    </row>
    <row r="341" spans="1:5" x14ac:dyDescent="0.2">
      <c r="A341" t="s">
        <v>394</v>
      </c>
      <c r="B341" s="15">
        <v>15.98</v>
      </c>
      <c r="C341">
        <v>57.2</v>
      </c>
      <c r="D341" s="9">
        <v>52.02</v>
      </c>
      <c r="E341" t="str">
        <f t="shared" si="10"/>
        <v>High</v>
      </c>
    </row>
    <row r="342" spans="1:5" hidden="1" x14ac:dyDescent="0.2">
      <c r="A342" t="s">
        <v>395</v>
      </c>
      <c r="B342" s="15">
        <v>16.13</v>
      </c>
      <c r="D342" s="9">
        <v>72.87</v>
      </c>
    </row>
    <row r="343" spans="1:5" x14ac:dyDescent="0.2">
      <c r="A343" t="s">
        <v>396</v>
      </c>
      <c r="B343" s="15">
        <v>15.31</v>
      </c>
      <c r="C343">
        <v>72.099999999999994</v>
      </c>
      <c r="D343" s="9">
        <v>114</v>
      </c>
      <c r="E343" t="str">
        <f t="shared" ref="E343:E350" si="11">IF(C336&lt;65,"Low",IF(C336&lt;=70,"Medium","High"))</f>
        <v>Low</v>
      </c>
    </row>
    <row r="344" spans="1:5" x14ac:dyDescent="0.2">
      <c r="A344" t="s">
        <v>398</v>
      </c>
      <c r="B344" s="15">
        <v>15.29</v>
      </c>
      <c r="C344">
        <v>67</v>
      </c>
      <c r="D344" s="9">
        <v>106.63</v>
      </c>
      <c r="E344" t="str">
        <f t="shared" si="11"/>
        <v>Low</v>
      </c>
    </row>
    <row r="345" spans="1:5" x14ac:dyDescent="0.2">
      <c r="A345" t="s">
        <v>399</v>
      </c>
      <c r="B345" s="15">
        <v>15.34</v>
      </c>
      <c r="C345">
        <v>67.599999999999994</v>
      </c>
      <c r="D345" s="9">
        <v>126.16</v>
      </c>
      <c r="E345" t="str">
        <f t="shared" si="11"/>
        <v>Low</v>
      </c>
    </row>
    <row r="346" spans="1:5" x14ac:dyDescent="0.2">
      <c r="A346" t="s">
        <v>400</v>
      </c>
      <c r="B346" s="15">
        <v>15.53</v>
      </c>
      <c r="C346">
        <v>64.599999999999994</v>
      </c>
      <c r="D346" s="9">
        <v>107.59</v>
      </c>
      <c r="E346" t="str">
        <f t="shared" si="11"/>
        <v>Low</v>
      </c>
    </row>
    <row r="347" spans="1:5" x14ac:dyDescent="0.2">
      <c r="A347" t="s">
        <v>401</v>
      </c>
      <c r="B347" s="15">
        <v>15.71</v>
      </c>
      <c r="C347">
        <v>65.400000000000006</v>
      </c>
      <c r="D347" s="9">
        <v>127.44</v>
      </c>
      <c r="E347" t="str">
        <f t="shared" si="11"/>
        <v>Low</v>
      </c>
    </row>
    <row r="348" spans="1:5" x14ac:dyDescent="0.2">
      <c r="A348" t="s">
        <v>402</v>
      </c>
      <c r="B348" s="15">
        <v>16.010000000000002</v>
      </c>
      <c r="C348">
        <v>71.5</v>
      </c>
      <c r="D348" s="9">
        <v>107.5</v>
      </c>
      <c r="E348" t="str">
        <f t="shared" si="11"/>
        <v>Low</v>
      </c>
    </row>
    <row r="349" spans="1:5" x14ac:dyDescent="0.2">
      <c r="A349" t="s">
        <v>403</v>
      </c>
      <c r="B349" s="15">
        <v>16.2</v>
      </c>
      <c r="C349">
        <v>67</v>
      </c>
      <c r="D349" s="9">
        <v>125.18</v>
      </c>
      <c r="E349" t="str">
        <f t="shared" si="11"/>
        <v>Low</v>
      </c>
    </row>
    <row r="350" spans="1:5" x14ac:dyDescent="0.2">
      <c r="A350" t="s">
        <v>404</v>
      </c>
      <c r="B350" s="15">
        <v>16.66</v>
      </c>
      <c r="C350">
        <v>72.3</v>
      </c>
      <c r="D350" s="9">
        <v>101.06</v>
      </c>
      <c r="E350" t="str">
        <f t="shared" si="11"/>
        <v>High</v>
      </c>
    </row>
    <row r="351" spans="1:5" hidden="1" x14ac:dyDescent="0.2">
      <c r="A351" t="s">
        <v>405</v>
      </c>
      <c r="B351" s="15">
        <v>17.059999999999999</v>
      </c>
      <c r="D351" s="9">
        <v>109.1</v>
      </c>
    </row>
    <row r="352" spans="1:5" hidden="1" x14ac:dyDescent="0.2">
      <c r="A352" t="s">
        <v>406</v>
      </c>
      <c r="B352" s="15">
        <v>14.13</v>
      </c>
      <c r="C352">
        <v>77.2</v>
      </c>
      <c r="D352" s="9">
        <v>140.24</v>
      </c>
    </row>
    <row r="353" spans="1:5" hidden="1" x14ac:dyDescent="0.2">
      <c r="A353" t="s">
        <v>408</v>
      </c>
      <c r="B353" s="15">
        <v>14.2</v>
      </c>
      <c r="C353">
        <v>65</v>
      </c>
      <c r="D353" s="9">
        <v>147.47</v>
      </c>
    </row>
    <row r="354" spans="1:5" hidden="1" x14ac:dyDescent="0.2">
      <c r="A354" t="s">
        <v>409</v>
      </c>
      <c r="B354" s="15">
        <v>14.32</v>
      </c>
      <c r="C354">
        <v>60.3</v>
      </c>
      <c r="D354" s="9">
        <v>153.31</v>
      </c>
    </row>
    <row r="355" spans="1:5" hidden="1" x14ac:dyDescent="0.2">
      <c r="A355" t="s">
        <v>410</v>
      </c>
      <c r="B355" s="15">
        <v>14.52</v>
      </c>
      <c r="C355">
        <v>71.5</v>
      </c>
      <c r="D355" s="9">
        <v>117.6</v>
      </c>
    </row>
    <row r="356" spans="1:5" hidden="1" x14ac:dyDescent="0.2">
      <c r="A356" t="s">
        <v>411</v>
      </c>
      <c r="B356" s="15">
        <v>14.8</v>
      </c>
      <c r="C356">
        <v>68.7</v>
      </c>
      <c r="D356" s="9">
        <v>135.02000000000001</v>
      </c>
    </row>
    <row r="357" spans="1:5" x14ac:dyDescent="0.2">
      <c r="A357" t="s">
        <v>412</v>
      </c>
      <c r="B357" s="15">
        <v>15.11</v>
      </c>
      <c r="C357">
        <v>67.400000000000006</v>
      </c>
      <c r="D357" s="9">
        <v>125.87</v>
      </c>
      <c r="E357" t="str">
        <f t="shared" ref="E357:E359" si="12">IF(C350&lt;65,"Low",IF(C350&lt;=70,"Medium","High"))</f>
        <v>High</v>
      </c>
    </row>
    <row r="358" spans="1:5" x14ac:dyDescent="0.2">
      <c r="A358" t="s">
        <v>413</v>
      </c>
      <c r="B358" s="15">
        <v>15.58</v>
      </c>
      <c r="C358">
        <v>64.900000000000006</v>
      </c>
      <c r="D358" s="9">
        <v>144.78</v>
      </c>
      <c r="E358" t="str">
        <f t="shared" si="12"/>
        <v>Low</v>
      </c>
    </row>
    <row r="359" spans="1:5" x14ac:dyDescent="0.2">
      <c r="A359" t="s">
        <v>414</v>
      </c>
      <c r="B359" s="15">
        <v>15.7</v>
      </c>
      <c r="C359">
        <v>72.8</v>
      </c>
      <c r="D359" s="9">
        <v>105.08</v>
      </c>
      <c r="E359" t="str">
        <f t="shared" si="12"/>
        <v>High</v>
      </c>
    </row>
    <row r="360" spans="1:5" hidden="1" x14ac:dyDescent="0.2">
      <c r="A360" t="s">
        <v>415</v>
      </c>
      <c r="B360" s="15">
        <v>16.11</v>
      </c>
      <c r="D360" s="9">
        <v>125.78</v>
      </c>
    </row>
    <row r="361" spans="1:5" hidden="1" x14ac:dyDescent="0.2">
      <c r="A361" t="s">
        <v>416</v>
      </c>
      <c r="B361" s="15">
        <v>13.13</v>
      </c>
      <c r="C361">
        <v>73.2</v>
      </c>
      <c r="D361" s="9">
        <v>100.04</v>
      </c>
    </row>
    <row r="362" spans="1:5" hidden="1" x14ac:dyDescent="0.2">
      <c r="A362" t="s">
        <v>418</v>
      </c>
      <c r="B362" s="15">
        <v>13.27</v>
      </c>
      <c r="C362">
        <v>72</v>
      </c>
      <c r="D362" s="9">
        <v>95.04</v>
      </c>
    </row>
    <row r="363" spans="1:5" hidden="1" x14ac:dyDescent="0.2">
      <c r="A363" t="s">
        <v>419</v>
      </c>
      <c r="B363" s="15">
        <v>13.47</v>
      </c>
      <c r="C363">
        <v>65.7</v>
      </c>
      <c r="D363" s="9">
        <v>102.3</v>
      </c>
    </row>
    <row r="364" spans="1:5" hidden="1" x14ac:dyDescent="0.2">
      <c r="A364" t="s">
        <v>420</v>
      </c>
      <c r="B364" s="15">
        <v>13.85</v>
      </c>
      <c r="C364">
        <v>68.8</v>
      </c>
      <c r="D364" s="9">
        <v>89.36</v>
      </c>
    </row>
    <row r="365" spans="1:5" hidden="1" x14ac:dyDescent="0.2">
      <c r="A365" t="s">
        <v>421</v>
      </c>
      <c r="B365" s="15">
        <v>14.21</v>
      </c>
      <c r="C365">
        <v>67.400000000000006</v>
      </c>
      <c r="D365" s="9">
        <v>87.6</v>
      </c>
    </row>
    <row r="366" spans="1:5" hidden="1" x14ac:dyDescent="0.2">
      <c r="A366" t="s">
        <v>422</v>
      </c>
      <c r="B366" s="15">
        <v>14.78</v>
      </c>
      <c r="C366">
        <v>72</v>
      </c>
      <c r="D366" s="9">
        <v>77.959999999999994</v>
      </c>
    </row>
    <row r="367" spans="1:5" x14ac:dyDescent="0.2">
      <c r="A367" t="s">
        <v>423</v>
      </c>
      <c r="B367" s="15">
        <v>15.23</v>
      </c>
      <c r="C367">
        <v>68.7</v>
      </c>
      <c r="D367" s="9">
        <v>96.84</v>
      </c>
      <c r="E367" t="str">
        <f t="shared" ref="E367:E368" si="13">IF(C360&lt;65,"Low",IF(C360&lt;=70,"Medium","High"))</f>
        <v>Low</v>
      </c>
    </row>
    <row r="368" spans="1:5" x14ac:dyDescent="0.2">
      <c r="A368" t="s">
        <v>424</v>
      </c>
      <c r="B368" s="15">
        <v>15.97</v>
      </c>
      <c r="C368">
        <v>69.900000000000006</v>
      </c>
      <c r="D368" s="9">
        <v>64.88</v>
      </c>
      <c r="E368" t="str">
        <f t="shared" si="13"/>
        <v>High</v>
      </c>
    </row>
    <row r="369" spans="1:5" hidden="1" x14ac:dyDescent="0.2">
      <c r="A369" t="s">
        <v>425</v>
      </c>
      <c r="B369" s="15">
        <v>16.18</v>
      </c>
      <c r="D369" s="9">
        <v>72.53</v>
      </c>
    </row>
    <row r="370" spans="1:5" hidden="1" x14ac:dyDescent="0.2">
      <c r="A370" t="s">
        <v>426</v>
      </c>
      <c r="B370" s="15">
        <v>14.34</v>
      </c>
      <c r="C370">
        <v>77.099999999999994</v>
      </c>
      <c r="D370" s="9">
        <v>158.09</v>
      </c>
    </row>
    <row r="371" spans="1:5" hidden="1" x14ac:dyDescent="0.2">
      <c r="A371" t="s">
        <v>428</v>
      </c>
      <c r="B371" s="15">
        <v>14.1</v>
      </c>
      <c r="C371">
        <v>73</v>
      </c>
      <c r="D371" s="9">
        <v>182.62</v>
      </c>
    </row>
    <row r="372" spans="1:5" hidden="1" x14ac:dyDescent="0.2">
      <c r="A372" t="s">
        <v>429</v>
      </c>
      <c r="B372" s="15">
        <v>14.1</v>
      </c>
      <c r="C372">
        <v>71</v>
      </c>
      <c r="D372" s="9">
        <v>157.69</v>
      </c>
    </row>
    <row r="373" spans="1:5" hidden="1" x14ac:dyDescent="0.2">
      <c r="A373" t="s">
        <v>430</v>
      </c>
      <c r="B373" s="15">
        <v>14.85</v>
      </c>
      <c r="C373">
        <v>73.8</v>
      </c>
      <c r="D373" s="9">
        <v>176.63</v>
      </c>
    </row>
    <row r="374" spans="1:5" x14ac:dyDescent="0.2">
      <c r="A374" t="s">
        <v>431</v>
      </c>
      <c r="B374" s="15">
        <v>15.05</v>
      </c>
      <c r="C374">
        <v>72.8</v>
      </c>
      <c r="D374" s="9">
        <v>181.31</v>
      </c>
      <c r="E374" t="str">
        <f>IF(C367&lt;65,"Low",IF(C367&lt;=70,"Medium","High"))</f>
        <v>Medium</v>
      </c>
    </row>
    <row r="375" spans="1:5" hidden="1" x14ac:dyDescent="0.2">
      <c r="A375" t="s">
        <v>432</v>
      </c>
      <c r="B375" s="15">
        <v>15</v>
      </c>
      <c r="C375">
        <v>74.900000000000006</v>
      </c>
      <c r="D375" s="9">
        <v>191.14</v>
      </c>
    </row>
    <row r="376" spans="1:5" x14ac:dyDescent="0.2">
      <c r="A376" t="s">
        <v>433</v>
      </c>
      <c r="B376" s="15">
        <v>15.56</v>
      </c>
      <c r="C376">
        <v>76.8</v>
      </c>
      <c r="D376" s="9">
        <v>216.43</v>
      </c>
      <c r="E376" t="str">
        <f t="shared" ref="E376:E377" si="14">IF(C369&lt;65,"Low",IF(C369&lt;=70,"Medium","High"))</f>
        <v>Low</v>
      </c>
    </row>
    <row r="377" spans="1:5" x14ac:dyDescent="0.2">
      <c r="A377" t="s">
        <v>434</v>
      </c>
      <c r="B377" s="15">
        <v>15.25</v>
      </c>
      <c r="C377">
        <v>70.900000000000006</v>
      </c>
      <c r="D377" s="9">
        <v>175.03</v>
      </c>
      <c r="E377" t="str">
        <f t="shared" si="14"/>
        <v>High</v>
      </c>
    </row>
    <row r="378" spans="1:5" hidden="1" x14ac:dyDescent="0.2">
      <c r="A378" t="s">
        <v>435</v>
      </c>
      <c r="B378" s="15">
        <v>15.86</v>
      </c>
      <c r="D378" s="9">
        <v>143.74</v>
      </c>
    </row>
    <row r="379" spans="1:5" hidden="1" x14ac:dyDescent="0.2">
      <c r="A379" t="s">
        <v>436</v>
      </c>
      <c r="B379" s="15">
        <v>12.94</v>
      </c>
      <c r="C379">
        <v>72</v>
      </c>
      <c r="D379" s="9">
        <v>139.88</v>
      </c>
    </row>
    <row r="380" spans="1:5" hidden="1" x14ac:dyDescent="0.2">
      <c r="A380" t="s">
        <v>438</v>
      </c>
      <c r="B380" s="15">
        <v>13.08</v>
      </c>
      <c r="C380">
        <v>74.5</v>
      </c>
      <c r="D380" s="9">
        <v>136.19999999999999</v>
      </c>
    </row>
    <row r="381" spans="1:5" hidden="1" x14ac:dyDescent="0.2">
      <c r="A381" t="s">
        <v>439</v>
      </c>
      <c r="B381" s="15">
        <v>13.26</v>
      </c>
      <c r="C381">
        <v>74.599999999999994</v>
      </c>
      <c r="D381" s="9">
        <v>141.72999999999999</v>
      </c>
    </row>
    <row r="382" spans="1:5" hidden="1" x14ac:dyDescent="0.2">
      <c r="A382" t="s">
        <v>440</v>
      </c>
      <c r="B382" s="15">
        <v>13.5</v>
      </c>
      <c r="C382">
        <v>78</v>
      </c>
      <c r="D382" s="9">
        <v>140.38999999999999</v>
      </c>
    </row>
    <row r="383" spans="1:5" hidden="1" x14ac:dyDescent="0.2">
      <c r="A383" t="s">
        <v>441</v>
      </c>
      <c r="B383" s="15">
        <v>13.77</v>
      </c>
      <c r="C383">
        <v>73.3</v>
      </c>
      <c r="D383" s="9">
        <v>147.94</v>
      </c>
    </row>
    <row r="384" spans="1:5" hidden="1" x14ac:dyDescent="0.2">
      <c r="A384" t="s">
        <v>442</v>
      </c>
      <c r="B384" s="15">
        <v>14.45</v>
      </c>
      <c r="C384">
        <v>67.900000000000006</v>
      </c>
      <c r="D384" s="9">
        <v>132.58000000000001</v>
      </c>
    </row>
    <row r="385" spans="1:4" hidden="1" x14ac:dyDescent="0.2">
      <c r="A385" t="s">
        <v>443</v>
      </c>
      <c r="B385" s="15">
        <v>14.59</v>
      </c>
      <c r="C385">
        <v>61.1</v>
      </c>
      <c r="D385" s="9">
        <v>152.43</v>
      </c>
    </row>
    <row r="386" spans="1:4" hidden="1" x14ac:dyDescent="0.2">
      <c r="A386" t="s">
        <v>444</v>
      </c>
      <c r="B386" s="15">
        <v>14.94</v>
      </c>
      <c r="C386">
        <v>61.4</v>
      </c>
      <c r="D386" s="9">
        <v>127.75</v>
      </c>
    </row>
    <row r="387" spans="1:4" hidden="1" x14ac:dyDescent="0.2">
      <c r="A387" t="s">
        <v>445</v>
      </c>
      <c r="B387" s="15">
        <v>15.38</v>
      </c>
      <c r="D387" s="9">
        <v>124.69</v>
      </c>
    </row>
    <row r="388" spans="1:4" hidden="1" x14ac:dyDescent="0.2">
      <c r="A388" t="s">
        <v>446</v>
      </c>
      <c r="B388" s="15">
        <v>10.06</v>
      </c>
      <c r="C388">
        <v>74.099999999999994</v>
      </c>
      <c r="D388" s="9">
        <v>105.22</v>
      </c>
    </row>
    <row r="389" spans="1:4" hidden="1" x14ac:dyDescent="0.2">
      <c r="A389" t="s">
        <v>448</v>
      </c>
      <c r="B389" s="15">
        <v>10.14</v>
      </c>
      <c r="C389">
        <v>68</v>
      </c>
      <c r="D389" s="9">
        <v>99.3</v>
      </c>
    </row>
    <row r="390" spans="1:4" hidden="1" x14ac:dyDescent="0.2">
      <c r="A390" t="s">
        <v>449</v>
      </c>
      <c r="B390" s="15">
        <v>10.29</v>
      </c>
      <c r="C390">
        <v>65.099999999999994</v>
      </c>
      <c r="D390" s="9">
        <v>96.83</v>
      </c>
    </row>
    <row r="391" spans="1:4" hidden="1" x14ac:dyDescent="0.2">
      <c r="A391" t="s">
        <v>450</v>
      </c>
      <c r="B391" s="15">
        <v>10.47</v>
      </c>
      <c r="C391">
        <v>67.900000000000006</v>
      </c>
      <c r="D391" s="9">
        <v>92.87</v>
      </c>
    </row>
    <row r="392" spans="1:4" hidden="1" x14ac:dyDescent="0.2">
      <c r="A392" t="s">
        <v>451</v>
      </c>
      <c r="B392" s="15">
        <v>10.71</v>
      </c>
      <c r="C392">
        <v>63.4</v>
      </c>
      <c r="D392" s="9">
        <v>94.85</v>
      </c>
    </row>
    <row r="393" spans="1:4" hidden="1" x14ac:dyDescent="0.2">
      <c r="A393" t="s">
        <v>452</v>
      </c>
      <c r="B393" s="15">
        <v>10.91</v>
      </c>
      <c r="C393">
        <v>72.3</v>
      </c>
      <c r="D393" s="9">
        <v>89.88</v>
      </c>
    </row>
    <row r="394" spans="1:4" hidden="1" x14ac:dyDescent="0.2">
      <c r="A394" t="s">
        <v>453</v>
      </c>
      <c r="B394" s="15">
        <v>11.17</v>
      </c>
      <c r="C394">
        <v>65.099999999999994</v>
      </c>
      <c r="D394" s="9">
        <v>88.47</v>
      </c>
    </row>
    <row r="395" spans="1:4" hidden="1" x14ac:dyDescent="0.2">
      <c r="A395" t="s">
        <v>454</v>
      </c>
      <c r="B395" s="15">
        <v>11.49</v>
      </c>
      <c r="C395">
        <v>62.1</v>
      </c>
      <c r="D395" s="9">
        <v>74.12</v>
      </c>
    </row>
    <row r="396" spans="1:4" hidden="1" x14ac:dyDescent="0.2">
      <c r="A396" t="s">
        <v>455</v>
      </c>
      <c r="B396" s="15">
        <v>11.8</v>
      </c>
      <c r="D396" s="9">
        <v>71.41</v>
      </c>
    </row>
    <row r="397" spans="1:4" hidden="1" x14ac:dyDescent="0.2">
      <c r="A397" t="s">
        <v>456</v>
      </c>
      <c r="B397" s="15">
        <v>8.8000000000000007</v>
      </c>
      <c r="C397">
        <v>72.400000000000006</v>
      </c>
      <c r="D397" s="9">
        <v>102.21</v>
      </c>
    </row>
    <row r="398" spans="1:4" hidden="1" x14ac:dyDescent="0.2">
      <c r="A398" t="s">
        <v>458</v>
      </c>
      <c r="B398" s="15">
        <v>8.8800000000000008</v>
      </c>
      <c r="C398">
        <v>62.6</v>
      </c>
      <c r="D398" s="9">
        <v>118.74</v>
      </c>
    </row>
    <row r="399" spans="1:4" hidden="1" x14ac:dyDescent="0.2">
      <c r="A399" t="s">
        <v>459</v>
      </c>
      <c r="B399" s="15">
        <v>9.11</v>
      </c>
      <c r="C399">
        <v>63.6</v>
      </c>
      <c r="D399" s="9">
        <v>116.54</v>
      </c>
    </row>
    <row r="400" spans="1:4" hidden="1" x14ac:dyDescent="0.2">
      <c r="A400" t="s">
        <v>460</v>
      </c>
      <c r="B400" s="15">
        <v>9.14</v>
      </c>
      <c r="C400">
        <v>58.8</v>
      </c>
      <c r="D400" s="9">
        <v>106.45</v>
      </c>
    </row>
    <row r="401" spans="1:5" hidden="1" x14ac:dyDescent="0.2">
      <c r="A401" t="s">
        <v>461</v>
      </c>
      <c r="B401" s="15">
        <v>9.77</v>
      </c>
      <c r="C401">
        <v>60.1</v>
      </c>
      <c r="D401" s="9">
        <v>116.15</v>
      </c>
    </row>
    <row r="402" spans="1:5" hidden="1" x14ac:dyDescent="0.2">
      <c r="A402" t="s">
        <v>462</v>
      </c>
      <c r="B402" s="15">
        <v>9.7200000000000006</v>
      </c>
      <c r="C402">
        <v>59.2</v>
      </c>
      <c r="D402" s="9">
        <v>105.09</v>
      </c>
    </row>
    <row r="403" spans="1:5" hidden="1" x14ac:dyDescent="0.2">
      <c r="A403" t="s">
        <v>463</v>
      </c>
      <c r="B403" s="15">
        <v>9.91</v>
      </c>
      <c r="C403">
        <v>62</v>
      </c>
      <c r="D403" s="9">
        <v>99.66</v>
      </c>
    </row>
    <row r="404" spans="1:5" hidden="1" x14ac:dyDescent="0.2">
      <c r="A404" t="s">
        <v>464</v>
      </c>
      <c r="B404" s="15">
        <v>10.16</v>
      </c>
      <c r="C404">
        <v>61.7</v>
      </c>
      <c r="D404" s="9">
        <v>98.05</v>
      </c>
    </row>
    <row r="405" spans="1:5" hidden="1" x14ac:dyDescent="0.2">
      <c r="A405" t="s">
        <v>465</v>
      </c>
      <c r="B405" s="15">
        <v>10.5</v>
      </c>
      <c r="D405" s="9">
        <v>76.28</v>
      </c>
    </row>
    <row r="406" spans="1:5" hidden="1" x14ac:dyDescent="0.2">
      <c r="A406" t="s">
        <v>466</v>
      </c>
      <c r="B406" s="15">
        <v>13.77</v>
      </c>
      <c r="C406">
        <v>73.2</v>
      </c>
      <c r="D406" s="9">
        <v>189.48</v>
      </c>
    </row>
    <row r="407" spans="1:5" hidden="1" x14ac:dyDescent="0.2">
      <c r="A407" t="s">
        <v>468</v>
      </c>
      <c r="B407" s="15">
        <v>13.96</v>
      </c>
      <c r="C407">
        <v>70.8</v>
      </c>
      <c r="D407" s="9">
        <v>202.5</v>
      </c>
    </row>
    <row r="408" spans="1:5" hidden="1" x14ac:dyDescent="0.2">
      <c r="A408" t="s">
        <v>469</v>
      </c>
      <c r="B408" s="15">
        <v>14.44</v>
      </c>
      <c r="C408">
        <v>70.099999999999994</v>
      </c>
      <c r="D408" s="9">
        <v>162.38999999999999</v>
      </c>
    </row>
    <row r="409" spans="1:5" hidden="1" x14ac:dyDescent="0.2">
      <c r="A409" t="s">
        <v>470</v>
      </c>
      <c r="B409" s="15">
        <v>14.68</v>
      </c>
      <c r="C409">
        <v>68.7</v>
      </c>
      <c r="D409" s="9">
        <v>170.36</v>
      </c>
    </row>
    <row r="410" spans="1:5" hidden="1" x14ac:dyDescent="0.2">
      <c r="A410" t="s">
        <v>471</v>
      </c>
      <c r="B410" s="15">
        <v>14.88</v>
      </c>
      <c r="C410">
        <v>70.400000000000006</v>
      </c>
      <c r="D410" s="9">
        <v>195.12</v>
      </c>
    </row>
    <row r="411" spans="1:5" x14ac:dyDescent="0.2">
      <c r="A411" t="s">
        <v>472</v>
      </c>
      <c r="B411" s="15">
        <v>15.37</v>
      </c>
      <c r="C411">
        <v>68.3</v>
      </c>
      <c r="D411" s="9">
        <v>207.01</v>
      </c>
      <c r="E411" t="str">
        <f t="shared" ref="E411:E413" si="15">IF(C404&lt;65,"Low",IF(C404&lt;=70,"Medium","High"))</f>
        <v>Low</v>
      </c>
    </row>
    <row r="412" spans="1:5" x14ac:dyDescent="0.2">
      <c r="A412" t="s">
        <v>473</v>
      </c>
      <c r="B412" s="15">
        <v>16.14</v>
      </c>
      <c r="C412">
        <v>66.8</v>
      </c>
      <c r="D412" s="9">
        <v>147.44</v>
      </c>
      <c r="E412" t="str">
        <f t="shared" si="15"/>
        <v>Low</v>
      </c>
    </row>
    <row r="413" spans="1:5" x14ac:dyDescent="0.2">
      <c r="A413" t="s">
        <v>474</v>
      </c>
      <c r="B413" s="15">
        <v>17.11</v>
      </c>
      <c r="C413">
        <v>63.9</v>
      </c>
      <c r="D413" s="9">
        <v>170.43</v>
      </c>
      <c r="E413" t="str">
        <f t="shared" si="15"/>
        <v>High</v>
      </c>
    </row>
    <row r="414" spans="1:5" hidden="1" x14ac:dyDescent="0.2">
      <c r="A414" t="s">
        <v>475</v>
      </c>
      <c r="B414" s="15">
        <v>17.579999999999998</v>
      </c>
      <c r="D414" s="9">
        <v>140.16999999999999</v>
      </c>
    </row>
    <row r="415" spans="1:5" hidden="1" x14ac:dyDescent="0.2">
      <c r="A415" t="s">
        <v>476</v>
      </c>
      <c r="B415" s="15">
        <v>11.72</v>
      </c>
      <c r="C415">
        <v>73.8</v>
      </c>
      <c r="D415" s="9">
        <v>114.27</v>
      </c>
    </row>
    <row r="416" spans="1:5" hidden="1" x14ac:dyDescent="0.2">
      <c r="A416" t="s">
        <v>478</v>
      </c>
      <c r="B416" s="15">
        <v>11.75</v>
      </c>
      <c r="C416">
        <v>70.5</v>
      </c>
      <c r="D416" s="9">
        <v>117.05</v>
      </c>
    </row>
    <row r="417" spans="1:4" hidden="1" x14ac:dyDescent="0.2">
      <c r="A417" t="s">
        <v>479</v>
      </c>
      <c r="B417" s="15">
        <v>12.01</v>
      </c>
      <c r="C417">
        <v>63.6</v>
      </c>
      <c r="D417" s="9">
        <v>126.65</v>
      </c>
    </row>
    <row r="418" spans="1:4" hidden="1" x14ac:dyDescent="0.2">
      <c r="A418" t="s">
        <v>480</v>
      </c>
      <c r="B418" s="15">
        <v>12.19</v>
      </c>
      <c r="C418">
        <v>69.7</v>
      </c>
      <c r="D418" s="9">
        <v>119.36</v>
      </c>
    </row>
    <row r="419" spans="1:4" hidden="1" x14ac:dyDescent="0.2">
      <c r="A419" t="s">
        <v>481</v>
      </c>
      <c r="B419" s="15">
        <v>12.59</v>
      </c>
      <c r="C419">
        <v>69.099999999999994</v>
      </c>
      <c r="D419" s="9">
        <v>121.02</v>
      </c>
    </row>
    <row r="420" spans="1:4" hidden="1" x14ac:dyDescent="0.2">
      <c r="A420" t="s">
        <v>482</v>
      </c>
      <c r="B420" s="15">
        <v>12.97</v>
      </c>
      <c r="C420">
        <v>67.7</v>
      </c>
      <c r="D420" s="9">
        <v>116.76</v>
      </c>
    </row>
    <row r="421" spans="1:4" hidden="1" x14ac:dyDescent="0.2">
      <c r="A421" t="s">
        <v>483</v>
      </c>
      <c r="B421" s="15">
        <v>13.3</v>
      </c>
      <c r="C421">
        <v>69.5</v>
      </c>
      <c r="D421" s="9">
        <v>108.87</v>
      </c>
    </row>
    <row r="422" spans="1:4" hidden="1" x14ac:dyDescent="0.2">
      <c r="A422" t="s">
        <v>484</v>
      </c>
      <c r="B422" s="15">
        <v>13.57</v>
      </c>
      <c r="C422">
        <v>67.099999999999994</v>
      </c>
      <c r="D422" s="9">
        <v>88.47</v>
      </c>
    </row>
    <row r="423" spans="1:4" hidden="1" x14ac:dyDescent="0.2">
      <c r="A423" t="s">
        <v>485</v>
      </c>
      <c r="B423" s="15">
        <v>14.01</v>
      </c>
      <c r="D423" s="9">
        <v>89.9</v>
      </c>
    </row>
    <row r="424" spans="1:4" hidden="1" x14ac:dyDescent="0.2">
      <c r="A424" t="s">
        <v>486</v>
      </c>
      <c r="B424" s="15">
        <v>11.74</v>
      </c>
      <c r="C424">
        <v>74.400000000000006</v>
      </c>
      <c r="D424" s="9">
        <v>71.72</v>
      </c>
    </row>
    <row r="425" spans="1:4" hidden="1" x14ac:dyDescent="0.2">
      <c r="A425" t="s">
        <v>488</v>
      </c>
      <c r="B425" s="15">
        <v>11.87</v>
      </c>
      <c r="C425">
        <v>65.3</v>
      </c>
      <c r="D425" s="9">
        <v>60.83</v>
      </c>
    </row>
    <row r="426" spans="1:4" hidden="1" x14ac:dyDescent="0.2">
      <c r="A426" t="s">
        <v>489</v>
      </c>
      <c r="B426" s="15">
        <v>12.14</v>
      </c>
      <c r="C426">
        <v>67.599999999999994</v>
      </c>
      <c r="D426" s="9">
        <v>76.290000000000006</v>
      </c>
    </row>
    <row r="427" spans="1:4" hidden="1" x14ac:dyDescent="0.2">
      <c r="A427" t="s">
        <v>490</v>
      </c>
      <c r="B427" s="15">
        <v>12.44</v>
      </c>
      <c r="C427">
        <v>67.900000000000006</v>
      </c>
      <c r="D427" s="9">
        <v>68.83</v>
      </c>
    </row>
    <row r="428" spans="1:4" hidden="1" x14ac:dyDescent="0.2">
      <c r="A428" t="s">
        <v>491</v>
      </c>
      <c r="B428" s="15">
        <v>12.72</v>
      </c>
      <c r="C428">
        <v>65.3</v>
      </c>
      <c r="D428" s="9">
        <v>75.400000000000006</v>
      </c>
    </row>
    <row r="429" spans="1:4" hidden="1" x14ac:dyDescent="0.2">
      <c r="A429" t="s">
        <v>492</v>
      </c>
      <c r="B429" s="15">
        <v>13.17</v>
      </c>
      <c r="C429">
        <v>68.7</v>
      </c>
      <c r="D429" s="9">
        <v>61.15</v>
      </c>
    </row>
    <row r="430" spans="1:4" hidden="1" x14ac:dyDescent="0.2">
      <c r="A430" t="s">
        <v>493</v>
      </c>
      <c r="B430" s="15">
        <v>13.49</v>
      </c>
      <c r="C430">
        <v>68.599999999999994</v>
      </c>
      <c r="D430" s="9">
        <v>75.930000000000007</v>
      </c>
    </row>
    <row r="431" spans="1:4" hidden="1" x14ac:dyDescent="0.2">
      <c r="A431" t="s">
        <v>494</v>
      </c>
      <c r="B431" s="15">
        <v>13.91</v>
      </c>
      <c r="C431">
        <v>66.7</v>
      </c>
      <c r="D431" s="9">
        <v>66.180000000000007</v>
      </c>
    </row>
    <row r="432" spans="1:4" hidden="1" x14ac:dyDescent="0.2">
      <c r="A432" t="s">
        <v>495</v>
      </c>
      <c r="B432" s="15">
        <v>14.34</v>
      </c>
      <c r="D432" s="9">
        <v>85.29</v>
      </c>
    </row>
    <row r="433" spans="1:5" x14ac:dyDescent="0.2">
      <c r="A433" t="s">
        <v>496</v>
      </c>
      <c r="B433" s="15">
        <v>15.55</v>
      </c>
      <c r="C433">
        <v>69.400000000000006</v>
      </c>
      <c r="D433" s="9">
        <v>126.98</v>
      </c>
      <c r="E433" t="str">
        <f t="shared" ref="E433:E440" si="16">IF(C426&lt;65,"Low",IF(C426&lt;=70,"Medium","High"))</f>
        <v>Medium</v>
      </c>
    </row>
    <row r="434" spans="1:5" x14ac:dyDescent="0.2">
      <c r="A434" t="s">
        <v>498</v>
      </c>
      <c r="B434" s="15">
        <v>15.77</v>
      </c>
      <c r="C434">
        <v>73.2</v>
      </c>
      <c r="D434" s="9">
        <v>121.87</v>
      </c>
      <c r="E434" t="str">
        <f t="shared" si="16"/>
        <v>Medium</v>
      </c>
    </row>
    <row r="435" spans="1:5" x14ac:dyDescent="0.2">
      <c r="A435" t="s">
        <v>499</v>
      </c>
      <c r="B435" s="15">
        <v>15.98</v>
      </c>
      <c r="C435">
        <v>72.5</v>
      </c>
      <c r="D435" s="9">
        <v>116.65</v>
      </c>
      <c r="E435" t="str">
        <f t="shared" si="16"/>
        <v>Medium</v>
      </c>
    </row>
    <row r="436" spans="1:5" x14ac:dyDescent="0.2">
      <c r="A436" t="s">
        <v>500</v>
      </c>
      <c r="B436" s="15">
        <v>15.95</v>
      </c>
      <c r="C436">
        <v>73</v>
      </c>
      <c r="D436" s="9">
        <v>120.98</v>
      </c>
      <c r="E436" t="str">
        <f t="shared" si="16"/>
        <v>Medium</v>
      </c>
    </row>
    <row r="437" spans="1:5" x14ac:dyDescent="0.2">
      <c r="A437" t="s">
        <v>501</v>
      </c>
      <c r="B437" s="15">
        <v>16.309999999999999</v>
      </c>
      <c r="C437">
        <v>75.400000000000006</v>
      </c>
      <c r="D437" s="9">
        <v>130.12</v>
      </c>
      <c r="E437" t="str">
        <f t="shared" si="16"/>
        <v>Medium</v>
      </c>
    </row>
    <row r="438" spans="1:5" x14ac:dyDescent="0.2">
      <c r="A438" t="s">
        <v>502</v>
      </c>
      <c r="B438" s="15">
        <v>16.89</v>
      </c>
      <c r="C438">
        <v>72.400000000000006</v>
      </c>
      <c r="D438" s="9">
        <v>105.98</v>
      </c>
      <c r="E438" t="str">
        <f t="shared" si="16"/>
        <v>Medium</v>
      </c>
    </row>
    <row r="439" spans="1:5" x14ac:dyDescent="0.2">
      <c r="A439" t="s">
        <v>503</v>
      </c>
      <c r="B439" s="15">
        <v>16.989999999999998</v>
      </c>
      <c r="C439">
        <v>71.599999999999994</v>
      </c>
      <c r="D439" s="9">
        <v>143.18</v>
      </c>
      <c r="E439" t="str">
        <f t="shared" si="16"/>
        <v>Low</v>
      </c>
    </row>
    <row r="440" spans="1:5" x14ac:dyDescent="0.2">
      <c r="A440" t="s">
        <v>504</v>
      </c>
      <c r="B440" s="15">
        <v>17.5</v>
      </c>
      <c r="C440">
        <v>72.599999999999994</v>
      </c>
      <c r="D440" s="9">
        <v>95.9</v>
      </c>
      <c r="E440" t="str">
        <f t="shared" si="16"/>
        <v>Medium</v>
      </c>
    </row>
    <row r="441" spans="1:5" hidden="1" x14ac:dyDescent="0.2">
      <c r="A441" t="s">
        <v>505</v>
      </c>
      <c r="B441" s="15">
        <v>18.2</v>
      </c>
      <c r="D441" s="9">
        <v>113.14</v>
      </c>
    </row>
    <row r="442" spans="1:5" hidden="1" x14ac:dyDescent="0.2">
      <c r="A442" t="s">
        <v>506</v>
      </c>
      <c r="B442" s="15">
        <v>13.2</v>
      </c>
      <c r="C442">
        <v>71.599999999999994</v>
      </c>
      <c r="D442" s="9">
        <v>110.61</v>
      </c>
    </row>
    <row r="443" spans="1:5" hidden="1" x14ac:dyDescent="0.2">
      <c r="A443" t="s">
        <v>508</v>
      </c>
      <c r="B443" s="15">
        <v>13.31</v>
      </c>
      <c r="C443">
        <v>66.3</v>
      </c>
      <c r="D443" s="9">
        <v>104.63</v>
      </c>
    </row>
    <row r="444" spans="1:5" hidden="1" x14ac:dyDescent="0.2">
      <c r="A444" t="s">
        <v>509</v>
      </c>
      <c r="B444" s="15">
        <v>13.46</v>
      </c>
      <c r="C444">
        <v>54.9</v>
      </c>
      <c r="D444" s="9">
        <v>115.35</v>
      </c>
    </row>
    <row r="445" spans="1:5" hidden="1" x14ac:dyDescent="0.2">
      <c r="A445" t="s">
        <v>510</v>
      </c>
      <c r="B445" s="15">
        <v>13.77</v>
      </c>
      <c r="C445">
        <v>55.5</v>
      </c>
      <c r="D445" s="9">
        <v>107.09</v>
      </c>
    </row>
    <row r="446" spans="1:5" hidden="1" x14ac:dyDescent="0.2">
      <c r="A446" t="s">
        <v>511</v>
      </c>
      <c r="B446" s="15">
        <v>13.9</v>
      </c>
      <c r="C446">
        <v>56.7</v>
      </c>
      <c r="D446" s="9">
        <v>125.41</v>
      </c>
    </row>
    <row r="447" spans="1:5" hidden="1" x14ac:dyDescent="0.2">
      <c r="A447" t="s">
        <v>512</v>
      </c>
      <c r="B447" s="15">
        <v>14.33</v>
      </c>
      <c r="C447">
        <v>57.2</v>
      </c>
      <c r="D447" s="9">
        <v>102.85</v>
      </c>
    </row>
    <row r="448" spans="1:5" hidden="1" x14ac:dyDescent="0.2">
      <c r="A448" t="s">
        <v>513</v>
      </c>
      <c r="B448" s="15">
        <v>14.72</v>
      </c>
      <c r="C448">
        <v>49.9</v>
      </c>
      <c r="D448" s="9">
        <v>110.25</v>
      </c>
    </row>
    <row r="449" spans="1:5" x14ac:dyDescent="0.2">
      <c r="A449" t="s">
        <v>514</v>
      </c>
      <c r="B449" s="15">
        <v>15.01</v>
      </c>
      <c r="C449">
        <v>55.7</v>
      </c>
      <c r="D449" s="9">
        <v>83.59</v>
      </c>
      <c r="E449" t="str">
        <f>IF(C442&lt;65,"Low",IF(C442&lt;=70,"Medium","High"))</f>
        <v>High</v>
      </c>
    </row>
    <row r="450" spans="1:5" hidden="1" x14ac:dyDescent="0.2">
      <c r="A450" t="s">
        <v>515</v>
      </c>
      <c r="B450" s="15">
        <v>15.58</v>
      </c>
      <c r="D450" s="9">
        <v>91.66</v>
      </c>
    </row>
    <row r="451" spans="1:5" hidden="1" x14ac:dyDescent="0.2">
      <c r="A451" t="s">
        <v>516</v>
      </c>
      <c r="B451" s="15">
        <v>12.03</v>
      </c>
      <c r="C451">
        <v>72.400000000000006</v>
      </c>
      <c r="D451" s="9">
        <v>268.06</v>
      </c>
    </row>
    <row r="452" spans="1:5" hidden="1" x14ac:dyDescent="0.2">
      <c r="A452" t="s">
        <v>518</v>
      </c>
      <c r="B452" s="15">
        <v>12.52</v>
      </c>
      <c r="C452">
        <v>62.6</v>
      </c>
      <c r="D452" s="9">
        <v>222.76</v>
      </c>
    </row>
    <row r="453" spans="1:5" hidden="1" x14ac:dyDescent="0.2">
      <c r="A453" t="s">
        <v>519</v>
      </c>
      <c r="B453" s="15">
        <v>12.05</v>
      </c>
      <c r="C453">
        <v>58.7</v>
      </c>
      <c r="D453" s="9">
        <v>228.99</v>
      </c>
    </row>
    <row r="454" spans="1:5" hidden="1" x14ac:dyDescent="0.2">
      <c r="A454" t="s">
        <v>520</v>
      </c>
      <c r="B454" s="15">
        <v>13.02</v>
      </c>
      <c r="C454">
        <v>62.9</v>
      </c>
      <c r="D454" s="9">
        <v>173.48</v>
      </c>
    </row>
    <row r="455" spans="1:5" hidden="1" x14ac:dyDescent="0.2">
      <c r="A455" t="s">
        <v>521</v>
      </c>
      <c r="B455" s="15">
        <v>12.88</v>
      </c>
      <c r="C455">
        <v>61.6</v>
      </c>
      <c r="D455" s="9">
        <v>232.1</v>
      </c>
    </row>
    <row r="456" spans="1:5" hidden="1" x14ac:dyDescent="0.2">
      <c r="A456" t="s">
        <v>522</v>
      </c>
      <c r="B456" s="15">
        <v>13.67</v>
      </c>
      <c r="C456">
        <v>60.6</v>
      </c>
      <c r="D456" s="9">
        <v>181.11</v>
      </c>
    </row>
    <row r="457" spans="1:5" hidden="1" x14ac:dyDescent="0.2">
      <c r="A457" t="s">
        <v>523</v>
      </c>
      <c r="B457" s="15">
        <v>13.6</v>
      </c>
      <c r="C457">
        <v>61.9</v>
      </c>
      <c r="D457" s="9">
        <v>196.43</v>
      </c>
    </row>
    <row r="458" spans="1:5" hidden="1" x14ac:dyDescent="0.2">
      <c r="A458" t="s">
        <v>524</v>
      </c>
      <c r="B458" s="15">
        <v>14.84</v>
      </c>
      <c r="C458">
        <v>59</v>
      </c>
      <c r="D458" s="9">
        <v>202.35</v>
      </c>
    </row>
    <row r="459" spans="1:5" hidden="1" x14ac:dyDescent="0.2">
      <c r="A459" t="s">
        <v>525</v>
      </c>
      <c r="B459" s="15">
        <v>14.77</v>
      </c>
      <c r="D459" s="9">
        <v>188.68</v>
      </c>
    </row>
  </sheetData>
  <autoFilter ref="A1:D459" xr:uid="{D85915C5-5F1A-1442-A891-C38C0CDCBD8B}">
    <filterColumn colId="1">
      <customFilters>
        <customFilter operator="greaterThan" val="15"/>
      </customFilters>
    </filterColumn>
    <filterColumn colId="2">
      <customFilters>
        <customFilter operator="notEqual" val=" "/>
      </customFilters>
    </filterColumn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99CD-C166-B345-B5FA-F6C9665DD51C}">
  <dimension ref="A1:D4"/>
  <sheetViews>
    <sheetView zoomScale="103" workbookViewId="0"/>
  </sheetViews>
  <sheetFormatPr baseColWidth="10" defaultRowHeight="16" x14ac:dyDescent="0.2"/>
  <cols>
    <col min="1" max="1" width="21.5" customWidth="1"/>
    <col min="2" max="2" width="23.5" customWidth="1"/>
    <col min="3" max="3" width="28.33203125" customWidth="1"/>
    <col min="4" max="4" width="27.6640625" customWidth="1"/>
  </cols>
  <sheetData>
    <row r="1" spans="1:4" x14ac:dyDescent="0.2">
      <c r="A1" s="1" t="s">
        <v>544</v>
      </c>
      <c r="B1" s="1" t="s">
        <v>545</v>
      </c>
      <c r="C1" s="1" t="s">
        <v>546</v>
      </c>
      <c r="D1" s="1" t="s">
        <v>547</v>
      </c>
    </row>
    <row r="2" spans="1:4" x14ac:dyDescent="0.2">
      <c r="A2" t="s">
        <v>548</v>
      </c>
      <c r="B2">
        <f>COUNTIF(Chart4_Data!C:C,"&lt;65")</f>
        <v>150</v>
      </c>
      <c r="C2" s="15">
        <f>AVERAGEIF(Chart4_Data!C:C,"&lt;65",Chart4_Data!D:D)</f>
        <v>125.22106666666667</v>
      </c>
      <c r="D2" s="15" cm="1">
        <f t="array" ref="D2">MEDIAN(IF(Chart4_Data!E:E="Low",Chart4_Data!D:D))</f>
        <v>111.85499999999999</v>
      </c>
    </row>
    <row r="3" spans="1:4" x14ac:dyDescent="0.2">
      <c r="A3" t="s">
        <v>549</v>
      </c>
      <c r="B3">
        <f>COUNTIFS(Chart4_Data!C:C,"&gt;=65",Chart4_Data!C:C,"&lt;=70")</f>
        <v>142</v>
      </c>
      <c r="C3" s="15">
        <f>AVERAGEIFS(Chart4_Data!D:D,Chart4_Data!C:C,"&gt;=65",Chart4_Data!C:C,"&lt;=70")</f>
        <v>114.60894366197184</v>
      </c>
      <c r="D3" s="15" cm="1">
        <f t="array" ref="D3">MEDIAN(IF((Chart4_Data!C:C&gt;=65)*(Chart4_Data!C:C&lt;=70),Chart4_Data!D:D))</f>
        <v>115.73</v>
      </c>
    </row>
    <row r="4" spans="1:4" x14ac:dyDescent="0.2">
      <c r="A4" t="s">
        <v>550</v>
      </c>
      <c r="B4">
        <f>COUNTIF(Chart4_Data!C:C,"&gt;70")</f>
        <v>113</v>
      </c>
      <c r="C4" s="15">
        <f>AVERAGEIF(Chart4_Data!C:C,"&gt;70",Chart4_Data!D:D)</f>
        <v>127.23035398230087</v>
      </c>
      <c r="D4" s="15" cm="1">
        <f t="array" ref="D4">MEDIAN(IF(Chart4_Data!C:C&gt;70,Chart4_Data!D:D))</f>
        <v>122.16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intermediate_workbook_COMPLETE</vt:lpstr>
      <vt:lpstr>Chart1_Data</vt:lpstr>
      <vt:lpstr>Chart2_Data</vt:lpstr>
      <vt:lpstr>Chart2_Stats</vt:lpstr>
      <vt:lpstr>Chart3_Data</vt:lpstr>
      <vt:lpstr>Chart4_Data</vt:lpstr>
      <vt:lpstr>Table3_Stats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s1632</dc:creator>
  <cp:lastModifiedBy>s1632</cp:lastModifiedBy>
  <dcterms:created xsi:type="dcterms:W3CDTF">2026-01-21T01:35:15Z</dcterms:created>
  <dcterms:modified xsi:type="dcterms:W3CDTF">2026-01-25T23:35:28Z</dcterms:modified>
</cp:coreProperties>
</file>