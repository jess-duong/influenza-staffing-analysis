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duong/Downloads/"/>
    </mc:Choice>
  </mc:AlternateContent>
  <xr:revisionPtr revIDLastSave="0" documentId="13_ncr:1_{A4F7B0F5-F31B-F143-9932-C673A4E455D1}" xr6:coauthVersionLast="47" xr6:coauthVersionMax="47" xr10:uidLastSave="{00000000-0000-0000-0000-000000000000}"/>
  <bookViews>
    <workbookView xWindow="6740" yWindow="1220" windowWidth="27720" windowHeight="16180" xr2:uid="{B0E00855-1DE8-3B42-AFDC-F40D59D1B3C3}"/>
  </bookViews>
  <sheets>
    <sheet name="Merged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2" i="1"/>
</calcChain>
</file>

<file path=xl/sharedStrings.xml><?xml version="1.0" encoding="utf-8"?>
<sst xmlns="http://schemas.openxmlformats.org/spreadsheetml/2006/main" count="523" uniqueCount="70">
  <si>
    <t>State</t>
  </si>
  <si>
    <t>Year</t>
  </si>
  <si>
    <t>Total population</t>
  </si>
  <si>
    <t>Pop_Under_65</t>
  </si>
  <si>
    <t>Pop_65_Plus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</si>
  <si>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</si>
  <si>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</si>
  <si>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</si>
  <si>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</si>
  <si>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</si>
  <si>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</si>
  <si>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</si>
  <si>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</si>
  <si>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</si>
  <si>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</si>
  <si>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</si>
  <si>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</si>
  <si>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</si>
  <si>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</si>
  <si>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</si>
  <si>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</si>
  <si>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</si>
  <si>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</si>
  <si>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</si>
  <si>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</si>
  <si>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</si>
  <si>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</si>
  <si>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</si>
  <si>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</si>
  <si>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</si>
  <si>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</si>
  <si>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</si>
  <si>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</si>
  <si>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</si>
  <si>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</si>
  <si>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</si>
  <si>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</si>
  <si>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</si>
  <si>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</si>
  <si>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</si>
  <si>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</si>
  <si>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</si>
  <si>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</si>
  <si>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</si>
  <si>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</si>
  <si>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</si>
  <si>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</si>
  <si>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</si>
  <si>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</si>
  <si>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</si>
  <si>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</si>
  <si>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</si>
  <si>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</si>
  <si>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</si>
  <si>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</si>
  <si>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</si>
  <si>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</si>
  <si>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Deaths_65_Plus</t>
  </si>
  <si>
    <t>Deaths_Under_65</t>
  </si>
  <si>
    <t>Vax_Rate_65_Plus</t>
  </si>
  <si>
    <t>Vax_Rate_Under_65</t>
  </si>
  <si>
    <t/>
  </si>
  <si>
    <t>Combined_Key</t>
  </si>
  <si>
    <t>Total_Flu_Deaths</t>
  </si>
  <si>
    <t>Death_Rate_Under_65</t>
  </si>
  <si>
    <t>Death_Rate_65+Plus</t>
  </si>
  <si>
    <t>Date_Rate_Total</t>
  </si>
  <si>
    <t>Death_Rate_per_100k</t>
  </si>
  <si>
    <t>Pct_Under_65</t>
  </si>
  <si>
    <t>Pct_65_Plus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</si>
</sst>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" fontId="1" fillId="2" borderId="0" xfId="0" applyNumberFormat="1" applyFont="1" applyFill="1"/>
    <xf numFmtId="4" fontId="0" fillId="0" borderId="0" xfId="0" applyNumberFormat="1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6D1E-FC2E-7F42-A6B0-775F44A10823}">
  <dimension ref="A1:Q469"/>
  <sheetViews>
    <sheetView tabSelected="1" topLeftCell="C1" workbookViewId="0">
      <selection activeCell="S15" sqref="S15"/>
    </sheetView>
  </sheetViews>
  <sheetFormatPr baseColWidth="10" defaultRowHeight="16" x14ac:dyDescent="0.2"/>
  <cols>
    <col min="1" max="1" width="22.5" bestFit="1" customWidth="1"/>
    <col min="4" max="4" width="14.1640625" style="3" bestFit="1" customWidth="1"/>
    <col min="5" max="5" width="12.83203125" style="3" bestFit="1" customWidth="1"/>
    <col min="6" max="6" width="12.1640625" style="3" bestFit="1" customWidth="1"/>
    <col min="7" max="7" width="14.5" style="3" bestFit="1" customWidth="1"/>
    <col min="8" max="8" width="15.6640625" style="3" bestFit="1" customWidth="1"/>
    <col min="9" max="9" width="16.33203125" style="3" bestFit="1" customWidth="1"/>
    <col min="10" max="10" width="17.5" style="3" bestFit="1" customWidth="1"/>
    <col min="11" max="11" width="15.33203125" bestFit="1" customWidth="1"/>
    <col min="12" max="12" width="19.5" style="5" bestFit="1" customWidth="1"/>
    <col min="13" max="13" width="18.5" bestFit="1" customWidth="1"/>
    <col min="14" max="14" width="14.6640625" style="5" bestFit="1" customWidth="1"/>
    <col min="15" max="15" width="19.33203125" bestFit="1" customWidth="1"/>
    <col min="16" max="16" width="12.5" style="5" bestFit="1" customWidth="1"/>
    <col min="17" max="17" width="10.83203125" style="5"/>
  </cols>
  <sheetData>
    <row r="1" spans="1:17" x14ac:dyDescent="0.2">
      <c r="A1" s="1" t="s">
        <v>62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63</v>
      </c>
      <c r="L1" s="4" t="s">
        <v>64</v>
      </c>
      <c r="M1" s="2" t="s">
        <v>65</v>
      </c>
      <c r="N1" s="4" t="s">
        <v>66</v>
      </c>
      <c r="O1" s="2" t="s">
        <v>67</v>
      </c>
      <c r="P1" s="4" t="s">
        <v>68</v>
      </c>
      <c r="Q1" s="4" t="s">
        <v>69</v>
      </c>
    </row>
    <row r="2" spans="1:17" x14ac:dyDescent="0.2">
      <c r="A2" t="str">
        <f>B2&amp;"_"&amp;C2</f>
        <v>Alabama_2009</v>
      </c>
      <c r="B2" t="s">
        <v>5</v>
      </c>
      <c r="C2">
        <v>2009</v>
      </c>
      <c r="D2" s="3">
        <v>4713550</v>
      </c>
      <c r="E2" s="3">
        <v>4077928.7810000004</v>
      </c>
      <c r="F2" s="3">
        <v>636565.92599999998</v>
      </c>
      <c r="G2" s="3">
        <v>700</v>
      </c>
      <c r="H2" s="3">
        <v>55</v>
      </c>
      <c r="I2" s="3">
        <v>44.215384615384615</v>
      </c>
      <c r="J2" s="3">
        <v>35.634615384615387</v>
      </c>
      <c r="K2" s="3">
        <f>G2+H2</f>
        <v>755</v>
      </c>
      <c r="L2" s="5">
        <f>IF(E2=0,"",H2/E2*100000)</f>
        <v>1.3487238976869222</v>
      </c>
      <c r="M2" s="5">
        <f>IF(F2=0,"",G2/F2*100000)</f>
        <v>109.96504390340239</v>
      </c>
      <c r="N2" s="5">
        <f>IF(D2=0,"",K2/D2*100000)</f>
        <v>16.017651239511622</v>
      </c>
      <c r="O2" s="5">
        <f>N2</f>
        <v>16.017651239511622</v>
      </c>
      <c r="P2" s="5">
        <f>IF(D2=0,"",E2/D2*100)</f>
        <v>86.515021183608965</v>
      </c>
      <c r="Q2" s="5">
        <f>IF(D2=0,"",F2/D2*100)</f>
        <v>13.505021183608957</v>
      </c>
    </row>
    <row r="3" spans="1:17" x14ac:dyDescent="0.2">
      <c r="A3" t="str">
        <f t="shared" ref="A3:A66" si="0">B3&amp;"_"&amp;C3</f>
        <v>Alabama_2010</v>
      </c>
      <c r="B3" t="s">
        <v>5</v>
      </c>
      <c r="C3">
        <v>2010</v>
      </c>
      <c r="D3" s="3">
        <v>4862140</v>
      </c>
      <c r="E3" s="3">
        <v>4207655.7259999998</v>
      </c>
      <c r="F3" s="3">
        <v>657917.51100000006</v>
      </c>
      <c r="G3" s="3">
        <v>754</v>
      </c>
      <c r="H3" s="3">
        <v>55</v>
      </c>
      <c r="I3" s="3">
        <v>51.410000000000004</v>
      </c>
      <c r="J3" s="3">
        <v>29.814999999999998</v>
      </c>
      <c r="K3" s="3">
        <f t="shared" ref="K3:K66" si="1">G3+H3</f>
        <v>809</v>
      </c>
      <c r="L3" s="5">
        <f t="shared" ref="L3:L66" si="2">IF(E3=0,"",H3/E3*100000)</f>
        <v>1.30714116319316</v>
      </c>
      <c r="M3" s="5">
        <f t="shared" ref="M3:M66" si="3">IF(F3=0,"",G3/F3*100000)</f>
        <v>114.60403278428623</v>
      </c>
      <c r="N3" s="5">
        <f t="shared" ref="N3:N66" si="4">IF(D3=0,"",K3/D3*100000)</f>
        <v>16.638764001036581</v>
      </c>
      <c r="O3" s="5">
        <f t="shared" ref="O3:O66" si="5">N3</f>
        <v>16.638764001036581</v>
      </c>
      <c r="P3" s="5">
        <f t="shared" ref="P3:P66" si="6">IF(D3=0,"",E3/D3*100)</f>
        <v>86.539172586556532</v>
      </c>
      <c r="Q3" s="5">
        <f t="shared" ref="Q3:Q66" si="7">IF(D3=0,"",F3/D3*100)</f>
        <v>13.531439057698874</v>
      </c>
    </row>
    <row r="4" spans="1:17" x14ac:dyDescent="0.2">
      <c r="A4" t="str">
        <f t="shared" si="0"/>
        <v>Alabama_2011</v>
      </c>
      <c r="B4" t="s">
        <v>5</v>
      </c>
      <c r="C4">
        <v>2011</v>
      </c>
      <c r="D4" s="3">
        <v>5081072</v>
      </c>
      <c r="E4" s="3">
        <v>4382426.7300000014</v>
      </c>
      <c r="F4" s="3">
        <v>698905.82099999965</v>
      </c>
      <c r="G4" s="3">
        <v>756</v>
      </c>
      <c r="H4" s="3">
        <v>20</v>
      </c>
      <c r="I4" s="3">
        <v>51.09</v>
      </c>
      <c r="J4" s="3">
        <v>30.985000000000007</v>
      </c>
      <c r="K4" s="3">
        <f t="shared" si="1"/>
        <v>776</v>
      </c>
      <c r="L4" s="5">
        <f t="shared" si="2"/>
        <v>0.45636815472782571</v>
      </c>
      <c r="M4" s="5">
        <f t="shared" si="3"/>
        <v>108.16908048044435</v>
      </c>
      <c r="N4" s="5">
        <f t="shared" si="4"/>
        <v>15.272367720827416</v>
      </c>
      <c r="O4" s="5">
        <f t="shared" si="5"/>
        <v>15.272367720827416</v>
      </c>
      <c r="P4" s="5">
        <f t="shared" si="6"/>
        <v>86.250041920287714</v>
      </c>
      <c r="Q4" s="5">
        <f t="shared" si="7"/>
        <v>13.755085954302547</v>
      </c>
    </row>
    <row r="5" spans="1:17" x14ac:dyDescent="0.2">
      <c r="A5" t="str">
        <f t="shared" si="0"/>
        <v>Alabama_2012</v>
      </c>
      <c r="B5" t="s">
        <v>5</v>
      </c>
      <c r="C5">
        <v>2012</v>
      </c>
      <c r="D5" s="3">
        <v>4866478</v>
      </c>
      <c r="E5" s="3">
        <v>4185178.0260000005</v>
      </c>
      <c r="F5" s="3">
        <v>681170.77500000002</v>
      </c>
      <c r="G5" s="3">
        <v>736</v>
      </c>
      <c r="H5" s="3">
        <v>25</v>
      </c>
      <c r="I5" s="3">
        <v>50.169999999999995</v>
      </c>
      <c r="J5" s="3">
        <v>32.290476190476184</v>
      </c>
      <c r="K5" s="3">
        <f t="shared" si="1"/>
        <v>761</v>
      </c>
      <c r="L5" s="5">
        <f t="shared" si="2"/>
        <v>0.59734615456475193</v>
      </c>
      <c r="M5" s="5">
        <f t="shared" si="3"/>
        <v>108.04926268306212</v>
      </c>
      <c r="N5" s="5">
        <f t="shared" si="4"/>
        <v>15.637592525847234</v>
      </c>
      <c r="O5" s="5">
        <f t="shared" si="5"/>
        <v>15.637592525847234</v>
      </c>
      <c r="P5" s="5">
        <f t="shared" si="6"/>
        <v>86.0001427315607</v>
      </c>
      <c r="Q5" s="5">
        <f t="shared" si="7"/>
        <v>13.99720239154477</v>
      </c>
    </row>
    <row r="6" spans="1:17" x14ac:dyDescent="0.2">
      <c r="A6" t="str">
        <f t="shared" si="0"/>
        <v>Alabama_2013</v>
      </c>
      <c r="B6" t="s">
        <v>5</v>
      </c>
      <c r="C6">
        <v>2013</v>
      </c>
      <c r="D6" s="3">
        <v>4876320</v>
      </c>
      <c r="E6" s="3">
        <v>4179281.4300000011</v>
      </c>
      <c r="F6" s="3">
        <v>698711.18299999984</v>
      </c>
      <c r="G6" s="3">
        <v>767</v>
      </c>
      <c r="H6" s="3">
        <v>94</v>
      </c>
      <c r="I6" s="3">
        <v>52.719999999999992</v>
      </c>
      <c r="J6" s="3">
        <v>35.042857142857144</v>
      </c>
      <c r="K6" s="3">
        <f t="shared" si="1"/>
        <v>861</v>
      </c>
      <c r="L6" s="5">
        <f t="shared" si="2"/>
        <v>2.2491904786608252</v>
      </c>
      <c r="M6" s="5">
        <f t="shared" si="3"/>
        <v>109.77354000644357</v>
      </c>
      <c r="N6" s="5">
        <f t="shared" si="4"/>
        <v>17.656757554877451</v>
      </c>
      <c r="O6" s="5">
        <f t="shared" si="5"/>
        <v>17.656757554877451</v>
      </c>
      <c r="P6" s="5">
        <f t="shared" si="6"/>
        <v>85.705643395019209</v>
      </c>
      <c r="Q6" s="5">
        <f t="shared" si="7"/>
        <v>14.328657327656918</v>
      </c>
    </row>
    <row r="7" spans="1:17" x14ac:dyDescent="0.2">
      <c r="A7" t="str">
        <f t="shared" si="0"/>
        <v>Alabama_2014</v>
      </c>
      <c r="B7" t="s">
        <v>5</v>
      </c>
      <c r="C7">
        <v>2014</v>
      </c>
      <c r="D7" s="3">
        <v>4622427</v>
      </c>
      <c r="E7" s="3">
        <v>3956957.0359999994</v>
      </c>
      <c r="F7" s="3">
        <v>664451.92799999996</v>
      </c>
      <c r="G7" s="3">
        <v>773</v>
      </c>
      <c r="H7" s="3">
        <v>114</v>
      </c>
      <c r="I7" s="3">
        <v>44.736363636363635</v>
      </c>
      <c r="J7" s="3">
        <v>33.809523809523817</v>
      </c>
      <c r="K7" s="3">
        <f t="shared" si="1"/>
        <v>887</v>
      </c>
      <c r="L7" s="5">
        <f t="shared" si="2"/>
        <v>2.8810017132569143</v>
      </c>
      <c r="M7" s="5">
        <f t="shared" si="3"/>
        <v>116.33648235873584</v>
      </c>
      <c r="N7" s="5">
        <f t="shared" si="4"/>
        <v>19.189053715721201</v>
      </c>
      <c r="O7" s="5">
        <f t="shared" si="5"/>
        <v>19.189053715721201</v>
      </c>
      <c r="P7" s="5">
        <f t="shared" si="6"/>
        <v>85.603451087491464</v>
      </c>
      <c r="Q7" s="5">
        <f t="shared" si="7"/>
        <v>14.374525070920535</v>
      </c>
    </row>
    <row r="8" spans="1:17" x14ac:dyDescent="0.2">
      <c r="A8" t="str">
        <f t="shared" si="0"/>
        <v>Alabama_2015</v>
      </c>
      <c r="B8" t="s">
        <v>5</v>
      </c>
      <c r="C8">
        <v>2015</v>
      </c>
      <c r="D8" s="3">
        <v>4727058</v>
      </c>
      <c r="E8" s="3">
        <v>4022073.3950000005</v>
      </c>
      <c r="F8" s="3">
        <v>704792.78100000008</v>
      </c>
      <c r="G8" s="3">
        <v>875</v>
      </c>
      <c r="H8" s="3">
        <v>102</v>
      </c>
      <c r="I8" s="3">
        <v>46.320000000000007</v>
      </c>
      <c r="J8" s="3">
        <v>33.852380952380955</v>
      </c>
      <c r="K8" s="3">
        <f t="shared" si="1"/>
        <v>977</v>
      </c>
      <c r="L8" s="5">
        <f t="shared" si="2"/>
        <v>2.536005437563627</v>
      </c>
      <c r="M8" s="5">
        <f t="shared" si="3"/>
        <v>124.14996628633175</v>
      </c>
      <c r="N8" s="5">
        <f t="shared" si="4"/>
        <v>20.668246507658676</v>
      </c>
      <c r="O8" s="5">
        <f t="shared" si="5"/>
        <v>20.668246507658676</v>
      </c>
      <c r="P8" s="5">
        <f t="shared" si="6"/>
        <v>85.086186693710985</v>
      </c>
      <c r="Q8" s="5">
        <f t="shared" si="7"/>
        <v>14.909755306577582</v>
      </c>
    </row>
    <row r="9" spans="1:17" x14ac:dyDescent="0.2">
      <c r="A9" t="str">
        <f t="shared" si="0"/>
        <v>Alabama_2016</v>
      </c>
      <c r="B9" t="s">
        <v>5</v>
      </c>
      <c r="C9">
        <v>2016</v>
      </c>
      <c r="D9" s="3">
        <v>4939554</v>
      </c>
      <c r="E9" s="3">
        <v>4173074.8080000007</v>
      </c>
      <c r="F9" s="3">
        <v>765967.75999999989</v>
      </c>
      <c r="G9" s="3">
        <v>757</v>
      </c>
      <c r="H9" s="3">
        <v>118</v>
      </c>
      <c r="I9" s="3">
        <v>46.839999999999996</v>
      </c>
      <c r="J9" s="3">
        <v>32.152380952380952</v>
      </c>
      <c r="K9" s="3">
        <f t="shared" si="1"/>
        <v>875</v>
      </c>
      <c r="L9" s="5">
        <f t="shared" si="2"/>
        <v>2.8276512027483398</v>
      </c>
      <c r="M9" s="5">
        <f t="shared" si="3"/>
        <v>98.829224874947755</v>
      </c>
      <c r="N9" s="5">
        <f t="shared" si="4"/>
        <v>17.714149900982964</v>
      </c>
      <c r="O9" s="5">
        <f t="shared" si="5"/>
        <v>17.714149900982964</v>
      </c>
      <c r="P9" s="5">
        <f t="shared" si="6"/>
        <v>84.482825939345958</v>
      </c>
      <c r="Q9" s="5">
        <f t="shared" si="7"/>
        <v>15.506820251383017</v>
      </c>
    </row>
    <row r="10" spans="1:17" x14ac:dyDescent="0.2">
      <c r="A10" t="str">
        <f t="shared" si="0"/>
        <v>Alabama_2017</v>
      </c>
      <c r="B10" t="s">
        <v>5</v>
      </c>
      <c r="C10">
        <v>2017</v>
      </c>
      <c r="D10" s="3">
        <v>4761712</v>
      </c>
      <c r="E10" s="3">
        <v>4010307</v>
      </c>
      <c r="F10" s="3">
        <v>751405</v>
      </c>
      <c r="G10" s="3">
        <v>940</v>
      </c>
      <c r="H10" s="3">
        <v>104</v>
      </c>
      <c r="I10" s="3">
        <v>48.3</v>
      </c>
      <c r="J10" s="3">
        <v>30.595238095238095</v>
      </c>
      <c r="K10" s="3">
        <f t="shared" si="1"/>
        <v>1044</v>
      </c>
      <c r="L10" s="5">
        <f t="shared" si="2"/>
        <v>2.5933176686971842</v>
      </c>
      <c r="M10" s="5">
        <f t="shared" si="3"/>
        <v>125.09898124180702</v>
      </c>
      <c r="N10" s="5">
        <f t="shared" si="4"/>
        <v>21.924887519446788</v>
      </c>
      <c r="O10" s="5">
        <f t="shared" si="5"/>
        <v>21.924887519446788</v>
      </c>
      <c r="P10" s="5">
        <f t="shared" si="6"/>
        <v>84.219856219779771</v>
      </c>
      <c r="Q10" s="5">
        <f t="shared" si="7"/>
        <v>15.780143780220223</v>
      </c>
    </row>
    <row r="11" spans="1:17" x14ac:dyDescent="0.2">
      <c r="A11" t="str">
        <f t="shared" si="0"/>
        <v>Alaska_2009</v>
      </c>
      <c r="B11" t="s">
        <v>6</v>
      </c>
      <c r="C11">
        <v>2009</v>
      </c>
      <c r="D11" s="3">
        <v>734628</v>
      </c>
      <c r="E11" s="3">
        <v>680233.96199999982</v>
      </c>
      <c r="F11" s="3">
        <v>54809.242999999988</v>
      </c>
      <c r="G11" s="3">
        <v>0</v>
      </c>
      <c r="H11" s="3">
        <v>0</v>
      </c>
      <c r="I11" s="3">
        <v>44.223076923076931</v>
      </c>
      <c r="J11" s="3">
        <v>32.374999999999993</v>
      </c>
      <c r="K11" s="3">
        <f t="shared" si="1"/>
        <v>0</v>
      </c>
      <c r="L11" s="5">
        <f t="shared" si="2"/>
        <v>0</v>
      </c>
      <c r="M11" s="5">
        <f t="shared" si="3"/>
        <v>0</v>
      </c>
      <c r="N11" s="5">
        <f t="shared" si="4"/>
        <v>0</v>
      </c>
      <c r="O11" s="5">
        <f t="shared" si="5"/>
        <v>0</v>
      </c>
      <c r="P11" s="5">
        <f t="shared" si="6"/>
        <v>92.595703131380759</v>
      </c>
      <c r="Q11" s="5">
        <f t="shared" si="7"/>
        <v>7.4608159503857712</v>
      </c>
    </row>
    <row r="12" spans="1:17" x14ac:dyDescent="0.2">
      <c r="A12" t="str">
        <f t="shared" si="0"/>
        <v>Alaska_2010</v>
      </c>
      <c r="B12" t="s">
        <v>6</v>
      </c>
      <c r="C12">
        <v>2010</v>
      </c>
      <c r="D12" s="3">
        <v>702506</v>
      </c>
      <c r="E12" s="3">
        <v>648359.84000000032</v>
      </c>
      <c r="F12" s="3">
        <v>54259.91</v>
      </c>
      <c r="G12" s="3">
        <v>0</v>
      </c>
      <c r="H12" s="3">
        <v>0</v>
      </c>
      <c r="I12" s="3">
        <v>45.400000000000006</v>
      </c>
      <c r="J12" s="3">
        <v>30.273684210526319</v>
      </c>
      <c r="K12" s="3">
        <f t="shared" si="1"/>
        <v>0</v>
      </c>
      <c r="L12" s="5">
        <f t="shared" si="2"/>
        <v>0</v>
      </c>
      <c r="M12" s="5">
        <f t="shared" si="3"/>
        <v>0</v>
      </c>
      <c r="N12" s="5">
        <f t="shared" si="4"/>
        <v>0</v>
      </c>
      <c r="O12" s="5">
        <f t="shared" si="5"/>
        <v>0</v>
      </c>
      <c r="P12" s="5">
        <f t="shared" si="6"/>
        <v>92.292427395637944</v>
      </c>
      <c r="Q12" s="5">
        <f t="shared" si="7"/>
        <v>7.7237646368856643</v>
      </c>
    </row>
    <row r="13" spans="1:17" x14ac:dyDescent="0.2">
      <c r="A13" t="str">
        <f t="shared" si="0"/>
        <v>Alaska_2011</v>
      </c>
      <c r="B13" t="s">
        <v>6</v>
      </c>
      <c r="C13">
        <v>2011</v>
      </c>
      <c r="D13" s="3">
        <v>677432</v>
      </c>
      <c r="E13" s="3">
        <v>624306.16099999973</v>
      </c>
      <c r="F13" s="3">
        <v>53307.000999999997</v>
      </c>
      <c r="G13" s="3">
        <v>0</v>
      </c>
      <c r="H13" s="3">
        <v>0</v>
      </c>
      <c r="I13" s="3">
        <v>42.288888888888891</v>
      </c>
      <c r="J13" s="3">
        <v>26.68</v>
      </c>
      <c r="K13" s="3">
        <f t="shared" si="1"/>
        <v>0</v>
      </c>
      <c r="L13" s="5">
        <f t="shared" si="2"/>
        <v>0</v>
      </c>
      <c r="M13" s="5">
        <f t="shared" si="3"/>
        <v>0</v>
      </c>
      <c r="N13" s="5">
        <f t="shared" si="4"/>
        <v>0</v>
      </c>
      <c r="O13" s="5">
        <f t="shared" si="5"/>
        <v>0</v>
      </c>
      <c r="P13" s="5">
        <f t="shared" si="6"/>
        <v>92.157760631325317</v>
      </c>
      <c r="Q13" s="5">
        <f t="shared" si="7"/>
        <v>7.8689818313867663</v>
      </c>
    </row>
    <row r="14" spans="1:17" x14ac:dyDescent="0.2">
      <c r="A14" t="str">
        <f t="shared" si="0"/>
        <v>Alaska_2012</v>
      </c>
      <c r="B14" t="s">
        <v>6</v>
      </c>
      <c r="C14">
        <v>2012</v>
      </c>
      <c r="D14" s="3">
        <v>675805</v>
      </c>
      <c r="E14" s="3">
        <v>622588.28399999975</v>
      </c>
      <c r="F14" s="3">
        <v>53256.262999999992</v>
      </c>
      <c r="G14" s="3">
        <v>0</v>
      </c>
      <c r="H14" s="3">
        <v>0</v>
      </c>
      <c r="I14" s="3">
        <v>45.433333333333337</v>
      </c>
      <c r="J14" s="3">
        <v>29.959999999999997</v>
      </c>
      <c r="K14" s="3">
        <f t="shared" si="1"/>
        <v>0</v>
      </c>
      <c r="L14" s="5">
        <f t="shared" si="2"/>
        <v>0</v>
      </c>
      <c r="M14" s="5">
        <f t="shared" si="3"/>
        <v>0</v>
      </c>
      <c r="N14" s="5">
        <f t="shared" si="4"/>
        <v>0</v>
      </c>
      <c r="O14" s="5">
        <f t="shared" si="5"/>
        <v>0</v>
      </c>
      <c r="P14" s="5">
        <f t="shared" si="6"/>
        <v>92.125433224080879</v>
      </c>
      <c r="Q14" s="5">
        <f t="shared" si="7"/>
        <v>7.8804186118776851</v>
      </c>
    </row>
    <row r="15" spans="1:17" x14ac:dyDescent="0.2">
      <c r="A15" t="str">
        <f t="shared" si="0"/>
        <v>Alaska_2013</v>
      </c>
      <c r="B15" t="s">
        <v>6</v>
      </c>
      <c r="C15">
        <v>2013</v>
      </c>
      <c r="D15" s="3">
        <v>724271</v>
      </c>
      <c r="E15" s="3">
        <v>661008.99700000009</v>
      </c>
      <c r="F15" s="3">
        <v>63134.807000000001</v>
      </c>
      <c r="G15" s="3">
        <v>0</v>
      </c>
      <c r="H15" s="3">
        <v>0</v>
      </c>
      <c r="I15" s="3">
        <v>45.044444444444451</v>
      </c>
      <c r="J15" s="3">
        <v>30.75238095238096</v>
      </c>
      <c r="K15" s="3">
        <f t="shared" si="1"/>
        <v>0</v>
      </c>
      <c r="L15" s="5">
        <f t="shared" si="2"/>
        <v>0</v>
      </c>
      <c r="M15" s="5">
        <f t="shared" si="3"/>
        <v>0</v>
      </c>
      <c r="N15" s="5">
        <f t="shared" si="4"/>
        <v>0</v>
      </c>
      <c r="O15" s="5">
        <f t="shared" si="5"/>
        <v>0</v>
      </c>
      <c r="P15" s="5">
        <f t="shared" si="6"/>
        <v>91.265423715708636</v>
      </c>
      <c r="Q15" s="5">
        <f t="shared" si="7"/>
        <v>8.7170143496011843</v>
      </c>
    </row>
    <row r="16" spans="1:17" x14ac:dyDescent="0.2">
      <c r="A16" t="str">
        <f t="shared" si="0"/>
        <v>Alaska_2014</v>
      </c>
      <c r="B16" t="s">
        <v>6</v>
      </c>
      <c r="C16">
        <v>2014</v>
      </c>
      <c r="D16" s="3">
        <v>647536</v>
      </c>
      <c r="E16" s="3">
        <v>589629.27799999993</v>
      </c>
      <c r="F16" s="3">
        <v>58239.516000000003</v>
      </c>
      <c r="G16" s="3">
        <v>0</v>
      </c>
      <c r="H16" s="3">
        <v>0</v>
      </c>
      <c r="I16" s="3">
        <v>48.300000000000004</v>
      </c>
      <c r="J16" s="3">
        <v>34.379999999999995</v>
      </c>
      <c r="K16" s="3">
        <f t="shared" si="1"/>
        <v>0</v>
      </c>
      <c r="L16" s="5">
        <f t="shared" si="2"/>
        <v>0</v>
      </c>
      <c r="M16" s="5">
        <f t="shared" si="3"/>
        <v>0</v>
      </c>
      <c r="N16" s="5">
        <f t="shared" si="4"/>
        <v>0</v>
      </c>
      <c r="O16" s="5">
        <f t="shared" si="5"/>
        <v>0</v>
      </c>
      <c r="P16" s="5">
        <f t="shared" si="6"/>
        <v>91.057374107385527</v>
      </c>
      <c r="Q16" s="5">
        <f t="shared" si="7"/>
        <v>8.9940197919497926</v>
      </c>
    </row>
    <row r="17" spans="1:17" x14ac:dyDescent="0.2">
      <c r="A17" t="str">
        <f t="shared" si="0"/>
        <v>Alaska_2015</v>
      </c>
      <c r="B17" t="s">
        <v>6</v>
      </c>
      <c r="C17">
        <v>2015</v>
      </c>
      <c r="D17" s="3">
        <v>705215</v>
      </c>
      <c r="E17" s="3">
        <v>636479.33100000012</v>
      </c>
      <c r="F17" s="3">
        <v>68737.628000000026</v>
      </c>
      <c r="G17" s="3">
        <v>0</v>
      </c>
      <c r="H17" s="3">
        <v>0</v>
      </c>
      <c r="I17" s="3">
        <v>44.26666666666668</v>
      </c>
      <c r="J17" s="3">
        <v>30.494999999999997</v>
      </c>
      <c r="K17" s="3">
        <f t="shared" si="1"/>
        <v>0</v>
      </c>
      <c r="L17" s="5">
        <f t="shared" si="2"/>
        <v>0</v>
      </c>
      <c r="M17" s="5">
        <f t="shared" si="3"/>
        <v>0</v>
      </c>
      <c r="N17" s="5">
        <f t="shared" si="4"/>
        <v>0</v>
      </c>
      <c r="O17" s="5">
        <f t="shared" si="5"/>
        <v>0</v>
      </c>
      <c r="P17" s="5">
        <f t="shared" si="6"/>
        <v>90.253232134880861</v>
      </c>
      <c r="Q17" s="5">
        <f t="shared" si="7"/>
        <v>9.7470456527442018</v>
      </c>
    </row>
    <row r="18" spans="1:17" x14ac:dyDescent="0.2">
      <c r="A18" t="str">
        <f t="shared" si="0"/>
        <v>Alaska_2016</v>
      </c>
      <c r="B18" t="s">
        <v>6</v>
      </c>
      <c r="C18">
        <v>2016</v>
      </c>
      <c r="D18" s="3">
        <v>728682</v>
      </c>
      <c r="E18" s="3">
        <v>651876.82199999981</v>
      </c>
      <c r="F18" s="3">
        <v>76259.938000000009</v>
      </c>
      <c r="G18" s="3">
        <v>0</v>
      </c>
      <c r="H18" s="3">
        <v>0</v>
      </c>
      <c r="I18" s="3">
        <v>46.133333333333333</v>
      </c>
      <c r="J18" s="3">
        <v>28.461904761904766</v>
      </c>
      <c r="K18" s="3">
        <f t="shared" si="1"/>
        <v>0</v>
      </c>
      <c r="L18" s="5">
        <f t="shared" si="2"/>
        <v>0</v>
      </c>
      <c r="M18" s="5">
        <f t="shared" si="3"/>
        <v>0</v>
      </c>
      <c r="N18" s="5">
        <f t="shared" si="4"/>
        <v>0</v>
      </c>
      <c r="O18" s="5">
        <f t="shared" si="5"/>
        <v>0</v>
      </c>
      <c r="P18" s="5">
        <f t="shared" si="6"/>
        <v>89.459712467166725</v>
      </c>
      <c r="Q18" s="5">
        <f t="shared" si="7"/>
        <v>10.4654620259592</v>
      </c>
    </row>
    <row r="19" spans="1:17" x14ac:dyDescent="0.2">
      <c r="A19" t="str">
        <f t="shared" si="0"/>
        <v>Alaska_2017</v>
      </c>
      <c r="B19" t="s">
        <v>6</v>
      </c>
      <c r="C19">
        <v>2017</v>
      </c>
      <c r="D19" s="3">
        <v>731616</v>
      </c>
      <c r="E19" s="3">
        <v>651681</v>
      </c>
      <c r="F19" s="3">
        <v>79935</v>
      </c>
      <c r="G19" s="3">
        <v>0</v>
      </c>
      <c r="H19" s="3">
        <v>0</v>
      </c>
      <c r="I19" s="3">
        <v>44.022222222222219</v>
      </c>
      <c r="J19" s="3">
        <v>30.089999999999996</v>
      </c>
      <c r="K19" s="3">
        <f t="shared" si="1"/>
        <v>0</v>
      </c>
      <c r="L19" s="5">
        <f t="shared" si="2"/>
        <v>0</v>
      </c>
      <c r="M19" s="5">
        <f t="shared" si="3"/>
        <v>0</v>
      </c>
      <c r="N19" s="5">
        <f t="shared" si="4"/>
        <v>0</v>
      </c>
      <c r="O19" s="5">
        <f t="shared" si="5"/>
        <v>0</v>
      </c>
      <c r="P19" s="5">
        <f t="shared" si="6"/>
        <v>89.074186458470024</v>
      </c>
      <c r="Q19" s="5">
        <f t="shared" si="7"/>
        <v>10.925813541529983</v>
      </c>
    </row>
    <row r="20" spans="1:17" x14ac:dyDescent="0.2">
      <c r="A20" t="str">
        <f t="shared" si="0"/>
        <v>Arizona_2009</v>
      </c>
      <c r="B20" t="s">
        <v>7</v>
      </c>
      <c r="C20">
        <v>2009</v>
      </c>
      <c r="D20" s="3">
        <v>6324865</v>
      </c>
      <c r="E20" s="3">
        <v>5508902.5250000004</v>
      </c>
      <c r="F20" s="3">
        <v>814059.98299999977</v>
      </c>
      <c r="G20" s="3">
        <v>779</v>
      </c>
      <c r="H20" s="3">
        <v>69</v>
      </c>
      <c r="I20" s="3">
        <v>46.467857142857156</v>
      </c>
      <c r="J20" s="3">
        <v>34.692857142857143</v>
      </c>
      <c r="K20" s="3">
        <f t="shared" si="1"/>
        <v>848</v>
      </c>
      <c r="L20" s="5">
        <f t="shared" si="2"/>
        <v>1.2525180775457629</v>
      </c>
      <c r="M20" s="5">
        <f t="shared" si="3"/>
        <v>95.693194146358167</v>
      </c>
      <c r="N20" s="5">
        <f t="shared" si="4"/>
        <v>13.407400790372602</v>
      </c>
      <c r="O20" s="5">
        <f t="shared" si="5"/>
        <v>13.407400790372602</v>
      </c>
      <c r="P20" s="5">
        <f t="shared" si="6"/>
        <v>87.099132155389881</v>
      </c>
      <c r="Q20" s="5">
        <f t="shared" si="7"/>
        <v>12.870788277694462</v>
      </c>
    </row>
    <row r="21" spans="1:17" x14ac:dyDescent="0.2">
      <c r="A21" t="str">
        <f t="shared" si="0"/>
        <v>Arizona_2010</v>
      </c>
      <c r="B21" t="s">
        <v>7</v>
      </c>
      <c r="C21">
        <v>2010</v>
      </c>
      <c r="D21" s="3">
        <v>6287420</v>
      </c>
      <c r="E21" s="3">
        <v>5441128.7070000013</v>
      </c>
      <c r="F21" s="3">
        <v>838437.56699999981</v>
      </c>
      <c r="G21" s="3">
        <v>560</v>
      </c>
      <c r="H21" s="3">
        <v>26</v>
      </c>
      <c r="I21" s="3">
        <v>53.955555555555556</v>
      </c>
      <c r="J21" s="3">
        <v>30.205000000000002</v>
      </c>
      <c r="K21" s="3">
        <f t="shared" si="1"/>
        <v>586</v>
      </c>
      <c r="L21" s="5">
        <f t="shared" si="2"/>
        <v>0.477842032417852</v>
      </c>
      <c r="M21" s="5">
        <f t="shared" si="3"/>
        <v>66.790900365274325</v>
      </c>
      <c r="N21" s="5">
        <f t="shared" si="4"/>
        <v>9.3201981098765465</v>
      </c>
      <c r="O21" s="5">
        <f t="shared" si="5"/>
        <v>9.3201981098765465</v>
      </c>
      <c r="P21" s="5">
        <f t="shared" si="6"/>
        <v>86.539927458321557</v>
      </c>
      <c r="Q21" s="5">
        <f t="shared" si="7"/>
        <v>13.335160797274554</v>
      </c>
    </row>
    <row r="22" spans="1:17" x14ac:dyDescent="0.2">
      <c r="A22" t="str">
        <f t="shared" si="0"/>
        <v>Arizona_2011</v>
      </c>
      <c r="B22" t="s">
        <v>7</v>
      </c>
      <c r="C22">
        <v>2011</v>
      </c>
      <c r="D22" s="3">
        <v>6304046</v>
      </c>
      <c r="E22" s="3">
        <v>5439685.4230000004</v>
      </c>
      <c r="F22" s="3">
        <v>859870.99199999997</v>
      </c>
      <c r="G22" s="3">
        <v>522</v>
      </c>
      <c r="H22" s="3">
        <v>10</v>
      </c>
      <c r="I22" s="3">
        <v>45.1</v>
      </c>
      <c r="J22" s="3">
        <v>29.215000000000003</v>
      </c>
      <c r="K22" s="3">
        <f t="shared" si="1"/>
        <v>532</v>
      </c>
      <c r="L22" s="5">
        <f t="shared" si="2"/>
        <v>0.18383415992619981</v>
      </c>
      <c r="M22" s="5">
        <f t="shared" si="3"/>
        <v>60.706781000468958</v>
      </c>
      <c r="N22" s="5">
        <f t="shared" si="4"/>
        <v>8.4390247152384354</v>
      </c>
      <c r="O22" s="5">
        <f t="shared" si="5"/>
        <v>8.4390247152384354</v>
      </c>
      <c r="P22" s="5">
        <f t="shared" si="6"/>
        <v>86.288796480863255</v>
      </c>
      <c r="Q22" s="5">
        <f t="shared" si="7"/>
        <v>13.639986002640208</v>
      </c>
    </row>
    <row r="23" spans="1:17" x14ac:dyDescent="0.2">
      <c r="A23" t="str">
        <f t="shared" si="0"/>
        <v>Arizona_2012</v>
      </c>
      <c r="B23" t="s">
        <v>7</v>
      </c>
      <c r="C23">
        <v>2012</v>
      </c>
      <c r="D23" s="3">
        <v>6462829</v>
      </c>
      <c r="E23" s="3">
        <v>5558974.7869999986</v>
      </c>
      <c r="F23" s="3">
        <v>894933.28</v>
      </c>
      <c r="G23" s="3">
        <v>507</v>
      </c>
      <c r="H23" s="3">
        <v>11</v>
      </c>
      <c r="I23" s="3">
        <v>48.220000000000006</v>
      </c>
      <c r="J23" s="3">
        <v>27.176190476190474</v>
      </c>
      <c r="K23" s="3">
        <f t="shared" si="1"/>
        <v>518</v>
      </c>
      <c r="L23" s="5">
        <f t="shared" si="2"/>
        <v>0.19787821354621307</v>
      </c>
      <c r="M23" s="5">
        <f t="shared" si="3"/>
        <v>56.652267976893206</v>
      </c>
      <c r="N23" s="5">
        <f t="shared" si="4"/>
        <v>8.0150658480984109</v>
      </c>
      <c r="O23" s="5">
        <f t="shared" si="5"/>
        <v>8.0150658480984109</v>
      </c>
      <c r="P23" s="5">
        <f t="shared" si="6"/>
        <v>86.014573292903123</v>
      </c>
      <c r="Q23" s="5">
        <f t="shared" si="7"/>
        <v>13.847392217866201</v>
      </c>
    </row>
    <row r="24" spans="1:17" x14ac:dyDescent="0.2">
      <c r="A24" t="str">
        <f t="shared" si="0"/>
        <v>Arizona_2013</v>
      </c>
      <c r="B24" t="s">
        <v>7</v>
      </c>
      <c r="C24">
        <v>2013</v>
      </c>
      <c r="D24" s="3">
        <v>6518081</v>
      </c>
      <c r="E24" s="3">
        <v>5583920.7639999995</v>
      </c>
      <c r="F24" s="3">
        <v>932562.51</v>
      </c>
      <c r="G24" s="3">
        <v>583</v>
      </c>
      <c r="H24" s="3">
        <v>10</v>
      </c>
      <c r="I24" s="3">
        <v>50.711111111111109</v>
      </c>
      <c r="J24" s="3">
        <v>27.976190476190474</v>
      </c>
      <c r="K24" s="3">
        <f t="shared" si="1"/>
        <v>593</v>
      </c>
      <c r="L24" s="5">
        <f t="shared" si="2"/>
        <v>0.17908563575025688</v>
      </c>
      <c r="M24" s="5">
        <f t="shared" si="3"/>
        <v>62.515916493361928</v>
      </c>
      <c r="N24" s="5">
        <f t="shared" si="4"/>
        <v>9.0977697270101441</v>
      </c>
      <c r="O24" s="5">
        <f t="shared" si="5"/>
        <v>9.0977697270101441</v>
      </c>
      <c r="P24" s="5">
        <f t="shared" si="6"/>
        <v>85.668170800577641</v>
      </c>
      <c r="Q24" s="5">
        <f t="shared" si="7"/>
        <v>14.307316984861036</v>
      </c>
    </row>
    <row r="25" spans="1:17" x14ac:dyDescent="0.2">
      <c r="A25" t="str">
        <f t="shared" si="0"/>
        <v>Arizona_2014</v>
      </c>
      <c r="B25" t="s">
        <v>7</v>
      </c>
      <c r="C25">
        <v>2014</v>
      </c>
      <c r="D25" s="3">
        <v>6552388</v>
      </c>
      <c r="E25" s="3">
        <v>5577447.9629999995</v>
      </c>
      <c r="F25" s="3">
        <v>971011.2</v>
      </c>
      <c r="G25" s="3">
        <v>553</v>
      </c>
      <c r="H25" s="3">
        <v>58</v>
      </c>
      <c r="I25" s="3">
        <v>45.54</v>
      </c>
      <c r="J25" s="3">
        <v>29.714285714285715</v>
      </c>
      <c r="K25" s="3">
        <f t="shared" si="1"/>
        <v>611</v>
      </c>
      <c r="L25" s="5">
        <f t="shared" si="2"/>
        <v>1.0399021270079756</v>
      </c>
      <c r="M25" s="5">
        <f t="shared" si="3"/>
        <v>56.950939391842233</v>
      </c>
      <c r="N25" s="5">
        <f t="shared" si="4"/>
        <v>9.3248446215334013</v>
      </c>
      <c r="O25" s="5">
        <f t="shared" si="5"/>
        <v>9.3248446215334013</v>
      </c>
      <c r="P25" s="5">
        <f t="shared" si="6"/>
        <v>85.120843927435303</v>
      </c>
      <c r="Q25" s="5">
        <f t="shared" si="7"/>
        <v>14.819195688655798</v>
      </c>
    </row>
    <row r="26" spans="1:17" x14ac:dyDescent="0.2">
      <c r="A26" t="str">
        <f t="shared" si="0"/>
        <v>Arizona_2015</v>
      </c>
      <c r="B26" t="s">
        <v>7</v>
      </c>
      <c r="C26">
        <v>2015</v>
      </c>
      <c r="D26" s="3">
        <v>6522731</v>
      </c>
      <c r="E26" s="3">
        <v>5523563.6129999999</v>
      </c>
      <c r="F26" s="3">
        <v>1009586.7610000001</v>
      </c>
      <c r="G26" s="3">
        <v>596</v>
      </c>
      <c r="H26" s="3">
        <v>12</v>
      </c>
      <c r="I26" s="3">
        <v>40.22727272727272</v>
      </c>
      <c r="J26" s="3">
        <v>30.142857142857142</v>
      </c>
      <c r="K26" s="3">
        <f t="shared" si="1"/>
        <v>608</v>
      </c>
      <c r="L26" s="5">
        <f t="shared" si="2"/>
        <v>0.21725105096567304</v>
      </c>
      <c r="M26" s="5">
        <f t="shared" si="3"/>
        <v>59.034054627425917</v>
      </c>
      <c r="N26" s="5">
        <f t="shared" si="4"/>
        <v>9.3212490289726802</v>
      </c>
      <c r="O26" s="5">
        <f t="shared" si="5"/>
        <v>9.3212490289726802</v>
      </c>
      <c r="P26" s="5">
        <f t="shared" si="6"/>
        <v>84.681763098922829</v>
      </c>
      <c r="Q26" s="5">
        <f t="shared" si="7"/>
        <v>15.47797634150481</v>
      </c>
    </row>
    <row r="27" spans="1:17" x14ac:dyDescent="0.2">
      <c r="A27" t="str">
        <f t="shared" si="0"/>
        <v>Arizona_2016</v>
      </c>
      <c r="B27" t="s">
        <v>7</v>
      </c>
      <c r="C27">
        <v>2016</v>
      </c>
      <c r="D27" s="3">
        <v>6545958</v>
      </c>
      <c r="E27" s="3">
        <v>5536113.862999999</v>
      </c>
      <c r="F27" s="3">
        <v>1011862.649</v>
      </c>
      <c r="G27" s="3">
        <v>649</v>
      </c>
      <c r="H27" s="3">
        <v>93</v>
      </c>
      <c r="I27" s="3">
        <v>44.36</v>
      </c>
      <c r="J27" s="3">
        <v>29.885714285714283</v>
      </c>
      <c r="K27" s="3">
        <f t="shared" si="1"/>
        <v>742</v>
      </c>
      <c r="L27" s="5">
        <f t="shared" si="2"/>
        <v>1.6798787434910822</v>
      </c>
      <c r="M27" s="5">
        <f t="shared" si="3"/>
        <v>64.139139896248906</v>
      </c>
      <c r="N27" s="5">
        <f t="shared" si="4"/>
        <v>11.335239242292726</v>
      </c>
      <c r="O27" s="5">
        <f t="shared" si="5"/>
        <v>11.335239242292726</v>
      </c>
      <c r="P27" s="5">
        <f t="shared" si="6"/>
        <v>84.57301227719455</v>
      </c>
      <c r="Q27" s="5">
        <f t="shared" si="7"/>
        <v>15.457823728780419</v>
      </c>
    </row>
    <row r="28" spans="1:17" x14ac:dyDescent="0.2">
      <c r="A28" t="str">
        <f t="shared" si="0"/>
        <v>Arizona_2017</v>
      </c>
      <c r="B28" t="s">
        <v>7</v>
      </c>
      <c r="C28">
        <v>2017</v>
      </c>
      <c r="D28" s="3">
        <v>6742401</v>
      </c>
      <c r="E28" s="3">
        <v>5649633</v>
      </c>
      <c r="F28" s="3">
        <v>1092768</v>
      </c>
      <c r="G28" s="3">
        <v>666</v>
      </c>
      <c r="H28" s="3">
        <v>30</v>
      </c>
      <c r="I28" s="3">
        <v>42.489999999999995</v>
      </c>
      <c r="J28" s="3">
        <v>27.68095238095238</v>
      </c>
      <c r="K28" s="3">
        <f t="shared" si="1"/>
        <v>696</v>
      </c>
      <c r="L28" s="5">
        <f t="shared" si="2"/>
        <v>0.53100794334782453</v>
      </c>
      <c r="M28" s="5">
        <f t="shared" si="3"/>
        <v>60.94614776420979</v>
      </c>
      <c r="N28" s="5">
        <f t="shared" si="4"/>
        <v>10.322732213643182</v>
      </c>
      <c r="O28" s="5">
        <f t="shared" si="5"/>
        <v>10.322732213643182</v>
      </c>
      <c r="P28" s="5">
        <f t="shared" si="6"/>
        <v>83.792598512013754</v>
      </c>
      <c r="Q28" s="5">
        <f t="shared" si="7"/>
        <v>16.207401487986253</v>
      </c>
    </row>
    <row r="29" spans="1:17" x14ac:dyDescent="0.2">
      <c r="A29" t="str">
        <f t="shared" si="0"/>
        <v>Arkansas_2009</v>
      </c>
      <c r="B29" t="s">
        <v>8</v>
      </c>
      <c r="C29">
        <v>2009</v>
      </c>
      <c r="D29" s="3">
        <v>2843554</v>
      </c>
      <c r="E29" s="3">
        <v>2445092.1960000005</v>
      </c>
      <c r="F29" s="3">
        <v>400216.31</v>
      </c>
      <c r="G29" s="3">
        <v>498</v>
      </c>
      <c r="H29" s="3">
        <v>10</v>
      </c>
      <c r="I29" s="3">
        <v>49.384615384615373</v>
      </c>
      <c r="J29" s="3">
        <v>48.596153846153847</v>
      </c>
      <c r="K29" s="3">
        <f t="shared" si="1"/>
        <v>508</v>
      </c>
      <c r="L29" s="5">
        <f t="shared" si="2"/>
        <v>0.40898253310690286</v>
      </c>
      <c r="M29" s="5">
        <f t="shared" si="3"/>
        <v>124.43270990130313</v>
      </c>
      <c r="N29" s="5">
        <f t="shared" si="4"/>
        <v>17.864967572270476</v>
      </c>
      <c r="O29" s="5">
        <f t="shared" si="5"/>
        <v>17.864967572270476</v>
      </c>
      <c r="P29" s="5">
        <f t="shared" si="6"/>
        <v>85.987190536912621</v>
      </c>
      <c r="Q29" s="5">
        <f t="shared" si="7"/>
        <v>14.074510630007378</v>
      </c>
    </row>
    <row r="30" spans="1:17" x14ac:dyDescent="0.2">
      <c r="A30" t="str">
        <f t="shared" si="0"/>
        <v>Arkansas_2010</v>
      </c>
      <c r="B30" t="s">
        <v>8</v>
      </c>
      <c r="C30">
        <v>2010</v>
      </c>
      <c r="D30" s="3">
        <v>3041661</v>
      </c>
      <c r="E30" s="3">
        <v>2605607.3530000001</v>
      </c>
      <c r="F30" s="3">
        <v>436104.43799999997</v>
      </c>
      <c r="G30" s="3">
        <v>462</v>
      </c>
      <c r="H30" s="3">
        <v>0</v>
      </c>
      <c r="I30" s="3">
        <v>53.2</v>
      </c>
      <c r="J30" s="3">
        <v>34.773684210526326</v>
      </c>
      <c r="K30" s="3">
        <f t="shared" si="1"/>
        <v>462</v>
      </c>
      <c r="L30" s="5">
        <f t="shared" si="2"/>
        <v>0</v>
      </c>
      <c r="M30" s="5">
        <f t="shared" si="3"/>
        <v>105.93792673121114</v>
      </c>
      <c r="N30" s="5">
        <f t="shared" si="4"/>
        <v>15.189069393334758</v>
      </c>
      <c r="O30" s="5">
        <f t="shared" si="5"/>
        <v>15.189069393334758</v>
      </c>
      <c r="P30" s="5">
        <f t="shared" si="6"/>
        <v>85.663962979437883</v>
      </c>
      <c r="Q30" s="5">
        <f t="shared" si="7"/>
        <v>14.337706864768954</v>
      </c>
    </row>
    <row r="31" spans="1:17" x14ac:dyDescent="0.2">
      <c r="A31" t="str">
        <f t="shared" si="0"/>
        <v>Arkansas_2011</v>
      </c>
      <c r="B31" t="s">
        <v>8</v>
      </c>
      <c r="C31">
        <v>2011</v>
      </c>
      <c r="D31" s="3">
        <v>2971204</v>
      </c>
      <c r="E31" s="3">
        <v>2546497.9550000015</v>
      </c>
      <c r="F31" s="3">
        <v>424026.99400000006</v>
      </c>
      <c r="G31">
        <v>563</v>
      </c>
      <c r="H31">
        <v>11</v>
      </c>
      <c r="I31" s="3">
        <v>51.277777777777771</v>
      </c>
      <c r="J31" s="3">
        <v>40.45000000000001</v>
      </c>
      <c r="K31" s="3">
        <f t="shared" si="1"/>
        <v>574</v>
      </c>
      <c r="L31" s="5">
        <f t="shared" si="2"/>
        <v>0.4319657896603335</v>
      </c>
      <c r="M31" s="5">
        <f t="shared" si="3"/>
        <v>132.77456576266934</v>
      </c>
      <c r="N31" s="5">
        <f t="shared" si="4"/>
        <v>19.318767745331524</v>
      </c>
      <c r="O31" s="5">
        <f t="shared" si="5"/>
        <v>19.318767745331524</v>
      </c>
      <c r="P31" s="5">
        <f t="shared" si="6"/>
        <v>85.7059277989664</v>
      </c>
      <c r="Q31" s="5">
        <f t="shared" si="7"/>
        <v>14.271217795883423</v>
      </c>
    </row>
    <row r="32" spans="1:17" x14ac:dyDescent="0.2">
      <c r="A32" t="str">
        <f t="shared" si="0"/>
        <v>Arkansas_2012</v>
      </c>
      <c r="B32" t="s">
        <v>8</v>
      </c>
      <c r="C32">
        <v>2012</v>
      </c>
      <c r="D32" s="3">
        <v>3063186</v>
      </c>
      <c r="E32" s="3">
        <v>2614284.7969999993</v>
      </c>
      <c r="F32" s="3">
        <v>448768.11500000011</v>
      </c>
      <c r="G32" s="3">
        <v>536</v>
      </c>
      <c r="H32" s="3">
        <v>10</v>
      </c>
      <c r="I32" s="3">
        <v>51.422222222222231</v>
      </c>
      <c r="J32" s="3">
        <v>38.568421052631578</v>
      </c>
      <c r="K32" s="3">
        <f t="shared" si="1"/>
        <v>546</v>
      </c>
      <c r="L32" s="5">
        <f t="shared" si="2"/>
        <v>0.38251379541645253</v>
      </c>
      <c r="M32" s="5">
        <f t="shared" si="3"/>
        <v>119.43807549696349</v>
      </c>
      <c r="N32" s="5">
        <f t="shared" si="4"/>
        <v>17.824578722937488</v>
      </c>
      <c r="O32" s="5">
        <f t="shared" si="5"/>
        <v>17.824578722937488</v>
      </c>
      <c r="P32" s="5">
        <f t="shared" si="6"/>
        <v>85.345284191035063</v>
      </c>
      <c r="Q32" s="5">
        <f t="shared" si="7"/>
        <v>14.650371051578329</v>
      </c>
    </row>
    <row r="33" spans="1:17" x14ac:dyDescent="0.2">
      <c r="A33" t="str">
        <f t="shared" si="0"/>
        <v>Arkansas_2013</v>
      </c>
      <c r="B33" t="s">
        <v>8</v>
      </c>
      <c r="C33">
        <v>2013</v>
      </c>
      <c r="D33" s="3">
        <v>3039533</v>
      </c>
      <c r="E33" s="3">
        <v>2593175.8140000007</v>
      </c>
      <c r="F33" s="3">
        <v>445718.179</v>
      </c>
      <c r="G33" s="3">
        <v>619</v>
      </c>
      <c r="H33" s="3">
        <v>0</v>
      </c>
      <c r="I33" s="3">
        <v>54.36666666666666</v>
      </c>
      <c r="J33" s="3">
        <v>41.078947368421048</v>
      </c>
      <c r="K33" s="3">
        <f t="shared" si="1"/>
        <v>619</v>
      </c>
      <c r="L33" s="5">
        <f t="shared" si="2"/>
        <v>0</v>
      </c>
      <c r="M33" s="5">
        <f t="shared" si="3"/>
        <v>138.87699204658196</v>
      </c>
      <c r="N33" s="5">
        <f t="shared" si="4"/>
        <v>20.364970539882275</v>
      </c>
      <c r="O33" s="5">
        <f t="shared" si="5"/>
        <v>20.364970539882275</v>
      </c>
      <c r="P33" s="5">
        <f t="shared" si="6"/>
        <v>85.314941933514149</v>
      </c>
      <c r="Q33" s="5">
        <f t="shared" si="7"/>
        <v>14.664034869830333</v>
      </c>
    </row>
    <row r="34" spans="1:17" x14ac:dyDescent="0.2">
      <c r="A34" t="str">
        <f t="shared" si="0"/>
        <v>Arkansas_2014</v>
      </c>
      <c r="B34" t="s">
        <v>8</v>
      </c>
      <c r="C34">
        <v>2014</v>
      </c>
      <c r="D34" s="3">
        <v>2953381</v>
      </c>
      <c r="E34" s="3">
        <v>2517489.5510000004</v>
      </c>
      <c r="F34" s="3">
        <v>436094.21499999997</v>
      </c>
      <c r="G34" s="3">
        <v>485</v>
      </c>
      <c r="H34" s="3">
        <v>43</v>
      </c>
      <c r="I34" s="3">
        <v>53.344444444444434</v>
      </c>
      <c r="J34" s="3">
        <v>37.228571428571435</v>
      </c>
      <c r="K34" s="3">
        <f t="shared" si="1"/>
        <v>528</v>
      </c>
      <c r="L34" s="5">
        <f t="shared" si="2"/>
        <v>1.7080507834846617</v>
      </c>
      <c r="M34" s="5">
        <f t="shared" si="3"/>
        <v>111.21449983004247</v>
      </c>
      <c r="N34" s="5">
        <f t="shared" si="4"/>
        <v>17.877815290340124</v>
      </c>
      <c r="O34" s="5">
        <f t="shared" si="5"/>
        <v>17.877815290340124</v>
      </c>
      <c r="P34" s="5">
        <f t="shared" si="6"/>
        <v>85.24093406844564</v>
      </c>
      <c r="Q34" s="5">
        <f t="shared" si="7"/>
        <v>14.765931486658848</v>
      </c>
    </row>
    <row r="35" spans="1:17" x14ac:dyDescent="0.2">
      <c r="A35" t="str">
        <f t="shared" si="0"/>
        <v>Arkansas_2015</v>
      </c>
      <c r="B35" t="s">
        <v>8</v>
      </c>
      <c r="C35">
        <v>2015</v>
      </c>
      <c r="D35" s="3">
        <v>3099972</v>
      </c>
      <c r="E35" s="3">
        <v>2617501.0519999992</v>
      </c>
      <c r="F35" s="3">
        <v>481988.11999999988</v>
      </c>
      <c r="G35" s="3">
        <v>521</v>
      </c>
      <c r="H35" s="3">
        <v>0</v>
      </c>
      <c r="I35" s="3">
        <v>47.300000000000004</v>
      </c>
      <c r="J35" s="3">
        <v>37.575000000000003</v>
      </c>
      <c r="K35" s="3">
        <f t="shared" si="1"/>
        <v>521</v>
      </c>
      <c r="L35" s="5">
        <f t="shared" si="2"/>
        <v>0</v>
      </c>
      <c r="M35" s="5">
        <f t="shared" si="3"/>
        <v>108.09395053139487</v>
      </c>
      <c r="N35" s="5">
        <f t="shared" si="4"/>
        <v>16.806603414482453</v>
      </c>
      <c r="O35" s="5">
        <f t="shared" si="5"/>
        <v>16.806603414482453</v>
      </c>
      <c r="P35" s="5">
        <f t="shared" si="6"/>
        <v>84.436280456726678</v>
      </c>
      <c r="Q35" s="5">
        <f t="shared" si="7"/>
        <v>15.548144305819534</v>
      </c>
    </row>
    <row r="36" spans="1:17" x14ac:dyDescent="0.2">
      <c r="A36" t="str">
        <f t="shared" si="0"/>
        <v>Arkansas_2016</v>
      </c>
      <c r="B36" t="s">
        <v>8</v>
      </c>
      <c r="C36">
        <v>2016</v>
      </c>
      <c r="D36" s="3">
        <v>3082240</v>
      </c>
      <c r="E36" s="3">
        <v>2601757.3659999999</v>
      </c>
      <c r="F36" s="3">
        <v>480256.73300000007</v>
      </c>
      <c r="G36" s="3">
        <v>491</v>
      </c>
      <c r="H36" s="3">
        <v>0</v>
      </c>
      <c r="I36" s="3">
        <v>46.929999999999993</v>
      </c>
      <c r="J36" s="3">
        <v>35.774999999999991</v>
      </c>
      <c r="K36" s="3">
        <f t="shared" si="1"/>
        <v>491</v>
      </c>
      <c r="L36" s="5">
        <f t="shared" si="2"/>
        <v>0</v>
      </c>
      <c r="M36" s="5">
        <f t="shared" si="3"/>
        <v>102.23698415072505</v>
      </c>
      <c r="N36" s="5">
        <f t="shared" si="4"/>
        <v>15.929973006644518</v>
      </c>
      <c r="O36" s="5">
        <f t="shared" si="5"/>
        <v>15.929973006644518</v>
      </c>
      <c r="P36" s="5">
        <f t="shared" si="6"/>
        <v>84.4112517519726</v>
      </c>
      <c r="Q36" s="5">
        <f t="shared" si="7"/>
        <v>15.581419130242944</v>
      </c>
    </row>
    <row r="37" spans="1:17" x14ac:dyDescent="0.2">
      <c r="A37" t="str">
        <f t="shared" si="0"/>
        <v>Arkansas_2017</v>
      </c>
      <c r="B37" t="s">
        <v>8</v>
      </c>
      <c r="C37">
        <v>2017</v>
      </c>
      <c r="D37" s="3">
        <v>3144162</v>
      </c>
      <c r="E37" s="3">
        <v>2648828</v>
      </c>
      <c r="F37" s="3">
        <v>495334</v>
      </c>
      <c r="G37" s="3">
        <v>549</v>
      </c>
      <c r="H37" s="3">
        <v>11</v>
      </c>
      <c r="I37" s="3">
        <v>41.1</v>
      </c>
      <c r="J37" s="3">
        <v>34.409999999999997</v>
      </c>
      <c r="K37" s="3">
        <f t="shared" si="1"/>
        <v>560</v>
      </c>
      <c r="L37" s="5">
        <f t="shared" si="2"/>
        <v>0.41527800219568811</v>
      </c>
      <c r="M37" s="5">
        <f t="shared" si="3"/>
        <v>110.83430574117666</v>
      </c>
      <c r="N37" s="5">
        <f t="shared" si="4"/>
        <v>17.810787103209059</v>
      </c>
      <c r="O37" s="5">
        <f t="shared" si="5"/>
        <v>17.810787103209059</v>
      </c>
      <c r="P37" s="5">
        <f t="shared" si="6"/>
        <v>84.245913537534008</v>
      </c>
      <c r="Q37" s="5">
        <f t="shared" si="7"/>
        <v>15.754086462465994</v>
      </c>
    </row>
    <row r="38" spans="1:17" x14ac:dyDescent="0.2">
      <c r="A38" t="str">
        <f t="shared" si="0"/>
        <v>California_2009</v>
      </c>
      <c r="B38" t="s">
        <v>9</v>
      </c>
      <c r="C38">
        <v>2009</v>
      </c>
      <c r="D38" s="3">
        <v>36329077</v>
      </c>
      <c r="E38" s="3">
        <v>32389754.631999999</v>
      </c>
      <c r="F38" s="3">
        <v>3975671.41</v>
      </c>
      <c r="G38" s="3">
        <v>5197</v>
      </c>
      <c r="H38" s="3">
        <v>1064</v>
      </c>
      <c r="I38" s="3">
        <v>42.685714285714276</v>
      </c>
      <c r="J38" s="3">
        <v>32.428571428571431</v>
      </c>
      <c r="K38" s="3">
        <f t="shared" si="1"/>
        <v>6261</v>
      </c>
      <c r="L38" s="5">
        <f t="shared" si="2"/>
        <v>3.2849893804036525</v>
      </c>
      <c r="M38" s="5">
        <f t="shared" si="3"/>
        <v>130.72005867808878</v>
      </c>
      <c r="N38" s="5">
        <f t="shared" si="4"/>
        <v>17.234129014618233</v>
      </c>
      <c r="O38" s="5">
        <f t="shared" si="5"/>
        <v>17.234129014618233</v>
      </c>
      <c r="P38" s="5">
        <f t="shared" si="6"/>
        <v>89.156558070550489</v>
      </c>
      <c r="Q38" s="5">
        <f t="shared" si="7"/>
        <v>10.943496885428717</v>
      </c>
    </row>
    <row r="39" spans="1:17" x14ac:dyDescent="0.2">
      <c r="A39" t="str">
        <f t="shared" si="0"/>
        <v>California_2010</v>
      </c>
      <c r="B39" t="s">
        <v>9</v>
      </c>
      <c r="C39">
        <v>2010</v>
      </c>
      <c r="D39" s="3">
        <v>36388689</v>
      </c>
      <c r="E39" s="3">
        <v>32379711.412000012</v>
      </c>
      <c r="F39" s="3">
        <v>4020743.9560000002</v>
      </c>
      <c r="G39" s="3">
        <v>5229</v>
      </c>
      <c r="H39" s="3">
        <v>503</v>
      </c>
      <c r="I39" s="3">
        <v>45.55</v>
      </c>
      <c r="J39" s="3">
        <v>29.28</v>
      </c>
      <c r="K39" s="3">
        <f t="shared" si="1"/>
        <v>5732</v>
      </c>
      <c r="L39" s="5">
        <f t="shared" si="2"/>
        <v>1.5534418871120228</v>
      </c>
      <c r="M39" s="5">
        <f t="shared" si="3"/>
        <v>130.05055923038734</v>
      </c>
      <c r="N39" s="5">
        <f t="shared" si="4"/>
        <v>15.752147597293215</v>
      </c>
      <c r="O39" s="5">
        <f t="shared" si="5"/>
        <v>15.752147597293215</v>
      </c>
      <c r="P39" s="5">
        <f t="shared" si="6"/>
        <v>88.982901835237911</v>
      </c>
      <c r="Q39" s="5">
        <f t="shared" si="7"/>
        <v>11.049433399483011</v>
      </c>
    </row>
    <row r="40" spans="1:17" x14ac:dyDescent="0.2">
      <c r="A40" t="str">
        <f t="shared" si="0"/>
        <v>California_2011</v>
      </c>
      <c r="B40" t="s">
        <v>9</v>
      </c>
      <c r="C40">
        <v>2011</v>
      </c>
      <c r="D40" s="3">
        <v>36986746</v>
      </c>
      <c r="E40" s="3">
        <v>32838531.205000002</v>
      </c>
      <c r="F40" s="3">
        <v>4185164.9149999996</v>
      </c>
      <c r="G40" s="3">
        <v>5338</v>
      </c>
      <c r="H40" s="3">
        <v>708</v>
      </c>
      <c r="I40" s="3">
        <v>46.01</v>
      </c>
      <c r="J40" s="3">
        <v>30.49</v>
      </c>
      <c r="K40" s="3">
        <f t="shared" si="1"/>
        <v>6046</v>
      </c>
      <c r="L40" s="5">
        <f t="shared" si="2"/>
        <v>2.156003858942996</v>
      </c>
      <c r="M40" s="5">
        <f t="shared" si="3"/>
        <v>127.5457504880665</v>
      </c>
      <c r="N40" s="5">
        <f t="shared" si="4"/>
        <v>16.346396084694771</v>
      </c>
      <c r="O40" s="5">
        <f t="shared" si="5"/>
        <v>16.346396084694771</v>
      </c>
      <c r="P40" s="5">
        <f t="shared" si="6"/>
        <v>88.784591120830157</v>
      </c>
      <c r="Q40" s="5">
        <f t="shared" si="7"/>
        <v>11.315309854508422</v>
      </c>
    </row>
    <row r="41" spans="1:17" x14ac:dyDescent="0.2">
      <c r="A41" t="str">
        <f t="shared" si="0"/>
        <v>California_2012</v>
      </c>
      <c r="B41" t="s">
        <v>9</v>
      </c>
      <c r="C41">
        <v>2012</v>
      </c>
      <c r="D41" s="3">
        <v>37341855</v>
      </c>
      <c r="E41" s="3">
        <v>33037936.693999995</v>
      </c>
      <c r="F41" s="3">
        <v>4315187.6220000014</v>
      </c>
      <c r="G41" s="3">
        <v>5119</v>
      </c>
      <c r="H41" s="3">
        <v>563</v>
      </c>
      <c r="I41" s="3">
        <v>47.969999999999992</v>
      </c>
      <c r="J41" s="3">
        <v>31.81428571428571</v>
      </c>
      <c r="K41" s="3">
        <f t="shared" si="1"/>
        <v>5682</v>
      </c>
      <c r="L41" s="5">
        <f t="shared" si="2"/>
        <v>1.7041015763622012</v>
      </c>
      <c r="M41" s="5">
        <f t="shared" si="3"/>
        <v>118.62751862519126</v>
      </c>
      <c r="N41" s="5">
        <f t="shared" si="4"/>
        <v>15.216169630566023</v>
      </c>
      <c r="O41" s="5">
        <f t="shared" si="5"/>
        <v>15.216169630566023</v>
      </c>
      <c r="P41" s="5">
        <f t="shared" si="6"/>
        <v>88.474278243541988</v>
      </c>
      <c r="Q41" s="5">
        <f t="shared" si="7"/>
        <v>11.555900535739323</v>
      </c>
    </row>
    <row r="42" spans="1:17" x14ac:dyDescent="0.2">
      <c r="A42" t="str">
        <f t="shared" si="0"/>
        <v>California_2013</v>
      </c>
      <c r="B42" t="s">
        <v>9</v>
      </c>
      <c r="C42">
        <v>2013</v>
      </c>
      <c r="D42" s="3">
        <v>37606937</v>
      </c>
      <c r="E42" s="3">
        <v>33191090.137000002</v>
      </c>
      <c r="F42" s="3">
        <v>4443327.0769999996</v>
      </c>
      <c r="G42" s="3">
        <v>5694</v>
      </c>
      <c r="H42" s="3">
        <v>693</v>
      </c>
      <c r="I42" s="3">
        <v>42.666666666666664</v>
      </c>
      <c r="J42" s="3">
        <v>38.292857142857137</v>
      </c>
      <c r="K42" s="3">
        <f t="shared" si="1"/>
        <v>6387</v>
      </c>
      <c r="L42" s="5">
        <f t="shared" si="2"/>
        <v>2.0879097286035608</v>
      </c>
      <c r="M42" s="5">
        <f t="shared" si="3"/>
        <v>128.14721719393245</v>
      </c>
      <c r="N42" s="5">
        <f t="shared" si="4"/>
        <v>16.98356874956341</v>
      </c>
      <c r="O42" s="5">
        <f t="shared" si="5"/>
        <v>16.98356874956341</v>
      </c>
      <c r="P42" s="5">
        <f t="shared" si="6"/>
        <v>88.257892784514738</v>
      </c>
      <c r="Q42" s="5">
        <f t="shared" si="7"/>
        <v>11.815179409586055</v>
      </c>
    </row>
    <row r="43" spans="1:17" x14ac:dyDescent="0.2">
      <c r="A43" t="str">
        <f t="shared" si="0"/>
        <v>California_2014</v>
      </c>
      <c r="B43" t="s">
        <v>9</v>
      </c>
      <c r="C43">
        <v>2014</v>
      </c>
      <c r="D43" s="3">
        <v>38107157</v>
      </c>
      <c r="E43" s="3">
        <v>33479940.355000012</v>
      </c>
      <c r="F43" s="3">
        <v>4621545.6919999998</v>
      </c>
      <c r="G43" s="3">
        <v>4888</v>
      </c>
      <c r="H43" s="3">
        <v>948</v>
      </c>
      <c r="I43" s="3">
        <v>48.349999999999994</v>
      </c>
      <c r="J43" s="3">
        <v>31.254545454545454</v>
      </c>
      <c r="K43" s="3">
        <f t="shared" si="1"/>
        <v>5836</v>
      </c>
      <c r="L43" s="5">
        <f t="shared" si="2"/>
        <v>2.8315462630697978</v>
      </c>
      <c r="M43" s="5">
        <f t="shared" si="3"/>
        <v>105.76548033401983</v>
      </c>
      <c r="N43" s="5">
        <f t="shared" si="4"/>
        <v>15.314708468018226</v>
      </c>
      <c r="O43" s="5">
        <f t="shared" si="5"/>
        <v>15.314708468018226</v>
      </c>
      <c r="P43" s="5">
        <f t="shared" si="6"/>
        <v>87.85735539127208</v>
      </c>
      <c r="Q43" s="5">
        <f t="shared" si="7"/>
        <v>12.127763013126378</v>
      </c>
    </row>
    <row r="44" spans="1:17" x14ac:dyDescent="0.2">
      <c r="A44" t="str">
        <f t="shared" si="0"/>
        <v>California_2015</v>
      </c>
      <c r="B44" t="s">
        <v>9</v>
      </c>
      <c r="C44">
        <v>2015</v>
      </c>
      <c r="D44" s="3">
        <v>38692954</v>
      </c>
      <c r="E44" s="3">
        <v>33840956.849000014</v>
      </c>
      <c r="F44" s="3">
        <v>4825504.8500000015</v>
      </c>
      <c r="G44" s="3">
        <v>5423</v>
      </c>
      <c r="H44" s="3">
        <v>620</v>
      </c>
      <c r="I44" s="3">
        <v>45.750000000000007</v>
      </c>
      <c r="J44" s="3">
        <v>32.409523809523805</v>
      </c>
      <c r="K44" s="3">
        <f t="shared" si="1"/>
        <v>6043</v>
      </c>
      <c r="L44" s="5">
        <f t="shared" si="2"/>
        <v>1.8320994963779245</v>
      </c>
      <c r="M44" s="5">
        <f t="shared" si="3"/>
        <v>112.38202361354996</v>
      </c>
      <c r="N44" s="5">
        <f t="shared" si="4"/>
        <v>15.617830574527858</v>
      </c>
      <c r="O44" s="5">
        <f t="shared" si="5"/>
        <v>15.617830574527858</v>
      </c>
      <c r="P44" s="5">
        <f t="shared" si="6"/>
        <v>87.460256585733958</v>
      </c>
      <c r="Q44" s="5">
        <f t="shared" si="7"/>
        <v>12.471275390346268</v>
      </c>
    </row>
    <row r="45" spans="1:17" x14ac:dyDescent="0.2">
      <c r="A45" t="str">
        <f t="shared" si="0"/>
        <v>California_2016</v>
      </c>
      <c r="B45" t="s">
        <v>9</v>
      </c>
      <c r="C45">
        <v>2016</v>
      </c>
      <c r="D45" s="3">
        <v>38841344</v>
      </c>
      <c r="E45" s="3">
        <v>33838735.307000004</v>
      </c>
      <c r="F45" s="3">
        <v>5006462.1050000004</v>
      </c>
      <c r="G45" s="3">
        <v>5085</v>
      </c>
      <c r="H45" s="3">
        <v>733</v>
      </c>
      <c r="I45" s="3">
        <v>47.279999999999994</v>
      </c>
      <c r="J45" s="3">
        <v>35.333333333333336</v>
      </c>
      <c r="K45" s="3">
        <f t="shared" si="1"/>
        <v>5818</v>
      </c>
      <c r="L45" s="5">
        <f t="shared" si="2"/>
        <v>2.1661566052924233</v>
      </c>
      <c r="M45" s="5">
        <f t="shared" si="3"/>
        <v>101.56873043983622</v>
      </c>
      <c r="N45" s="5">
        <f t="shared" si="4"/>
        <v>14.978884355803959</v>
      </c>
      <c r="O45" s="5">
        <f t="shared" si="5"/>
        <v>14.978884355803959</v>
      </c>
      <c r="P45" s="5">
        <f t="shared" si="6"/>
        <v>87.120402700277324</v>
      </c>
      <c r="Q45" s="5">
        <f t="shared" si="7"/>
        <v>12.889518202562714</v>
      </c>
    </row>
    <row r="46" spans="1:17" x14ac:dyDescent="0.2">
      <c r="A46" t="str">
        <f t="shared" si="0"/>
        <v>California_2017</v>
      </c>
      <c r="B46" t="s">
        <v>9</v>
      </c>
      <c r="C46">
        <v>2017</v>
      </c>
      <c r="D46" s="3">
        <v>38760119</v>
      </c>
      <c r="E46" s="3">
        <v>33645050</v>
      </c>
      <c r="F46" s="3">
        <v>5115069</v>
      </c>
      <c r="G46" s="3">
        <v>5510</v>
      </c>
      <c r="H46" s="3">
        <v>687</v>
      </c>
      <c r="I46" s="3">
        <v>39.781818181818188</v>
      </c>
      <c r="J46" s="3">
        <v>28.986363636363638</v>
      </c>
      <c r="K46" s="3">
        <f t="shared" si="1"/>
        <v>6197</v>
      </c>
      <c r="L46" s="5">
        <f t="shared" si="2"/>
        <v>2.0419051242307558</v>
      </c>
      <c r="M46" s="5">
        <f t="shared" si="3"/>
        <v>107.72093201479784</v>
      </c>
      <c r="N46" s="5">
        <f t="shared" si="4"/>
        <v>15.988083008723475</v>
      </c>
      <c r="O46" s="5">
        <f t="shared" si="5"/>
        <v>15.988083008723475</v>
      </c>
      <c r="P46" s="5">
        <f t="shared" si="6"/>
        <v>86.803268070461797</v>
      </c>
      <c r="Q46" s="5">
        <f t="shared" si="7"/>
        <v>13.196731929538194</v>
      </c>
    </row>
    <row r="47" spans="1:17" x14ac:dyDescent="0.2">
      <c r="A47" t="str">
        <f t="shared" si="0"/>
        <v>Colorado_2009</v>
      </c>
      <c r="B47" t="s">
        <v>10</v>
      </c>
      <c r="C47">
        <v>2009</v>
      </c>
      <c r="D47" s="3">
        <v>4868211</v>
      </c>
      <c r="E47" s="3">
        <v>4363960.5749999993</v>
      </c>
      <c r="F47" s="3">
        <v>499940.05099999998</v>
      </c>
      <c r="G47" s="3">
        <v>411</v>
      </c>
      <c r="H47" s="3">
        <v>39</v>
      </c>
      <c r="I47" s="3">
        <v>48.75</v>
      </c>
      <c r="J47" s="3">
        <v>40.32692307692308</v>
      </c>
      <c r="K47" s="3">
        <f t="shared" si="1"/>
        <v>450</v>
      </c>
      <c r="L47" s="5">
        <f t="shared" si="2"/>
        <v>0.89368360070484842</v>
      </c>
      <c r="M47" s="5">
        <f t="shared" si="3"/>
        <v>82.209856797410296</v>
      </c>
      <c r="N47" s="5">
        <f t="shared" si="4"/>
        <v>9.2436420689242933</v>
      </c>
      <c r="O47" s="5">
        <f t="shared" si="5"/>
        <v>9.2436420689242933</v>
      </c>
      <c r="P47" s="5">
        <f t="shared" si="6"/>
        <v>89.641976795993415</v>
      </c>
      <c r="Q47" s="5">
        <f t="shared" si="7"/>
        <v>10.269481971919458</v>
      </c>
    </row>
    <row r="48" spans="1:17" x14ac:dyDescent="0.2">
      <c r="A48" t="str">
        <f t="shared" si="0"/>
        <v>Colorado_2010</v>
      </c>
      <c r="B48" t="s">
        <v>10</v>
      </c>
      <c r="C48">
        <v>2010</v>
      </c>
      <c r="D48" s="3">
        <v>4913915</v>
      </c>
      <c r="E48" s="3">
        <v>4391400.3760000011</v>
      </c>
      <c r="F48" s="3">
        <v>521340.21499999985</v>
      </c>
      <c r="G48" s="3">
        <v>385</v>
      </c>
      <c r="H48" s="3">
        <v>0</v>
      </c>
      <c r="I48" s="3">
        <v>51.77</v>
      </c>
      <c r="J48" s="3">
        <v>35.094999999999999</v>
      </c>
      <c r="K48" s="3">
        <f t="shared" si="1"/>
        <v>385</v>
      </c>
      <c r="L48" s="5">
        <f t="shared" si="2"/>
        <v>0</v>
      </c>
      <c r="M48" s="5">
        <f t="shared" si="3"/>
        <v>73.848130054574852</v>
      </c>
      <c r="N48" s="5">
        <f t="shared" si="4"/>
        <v>7.834893358961236</v>
      </c>
      <c r="O48" s="5">
        <f t="shared" si="5"/>
        <v>7.834893358961236</v>
      </c>
      <c r="P48" s="5">
        <f t="shared" si="6"/>
        <v>89.366632837564367</v>
      </c>
      <c r="Q48" s="5">
        <f t="shared" si="7"/>
        <v>10.609467501981614</v>
      </c>
    </row>
    <row r="49" spans="1:17" x14ac:dyDescent="0.2">
      <c r="A49" t="str">
        <f t="shared" si="0"/>
        <v>Colorado_2011</v>
      </c>
      <c r="B49" t="s">
        <v>10</v>
      </c>
      <c r="C49">
        <v>2011</v>
      </c>
      <c r="D49" s="3">
        <v>5053317</v>
      </c>
      <c r="E49" s="3">
        <v>4501638.1920000007</v>
      </c>
      <c r="F49" s="3">
        <v>549184.28700000013</v>
      </c>
      <c r="G49" s="3">
        <v>408</v>
      </c>
      <c r="H49" s="3">
        <v>0</v>
      </c>
      <c r="I49" s="3">
        <v>59.188888888888883</v>
      </c>
      <c r="J49" s="3">
        <v>33.719999999999992</v>
      </c>
      <c r="K49" s="3">
        <f t="shared" si="1"/>
        <v>408</v>
      </c>
      <c r="L49" s="5">
        <f t="shared" si="2"/>
        <v>0</v>
      </c>
      <c r="M49" s="5">
        <f t="shared" si="3"/>
        <v>74.292001730195153</v>
      </c>
      <c r="N49" s="5">
        <f t="shared" si="4"/>
        <v>8.0739047243622366</v>
      </c>
      <c r="O49" s="5">
        <f t="shared" si="5"/>
        <v>8.0739047243622366</v>
      </c>
      <c r="P49" s="5">
        <f t="shared" si="6"/>
        <v>89.082837906270299</v>
      </c>
      <c r="Q49" s="5">
        <f t="shared" si="7"/>
        <v>10.867798062144136</v>
      </c>
    </row>
    <row r="50" spans="1:17" x14ac:dyDescent="0.2">
      <c r="A50" t="str">
        <f t="shared" si="0"/>
        <v>Colorado_2012</v>
      </c>
      <c r="B50" t="s">
        <v>10</v>
      </c>
      <c r="C50">
        <v>2012</v>
      </c>
      <c r="D50" s="3">
        <v>5005219</v>
      </c>
      <c r="E50" s="3">
        <v>4447039.4460000023</v>
      </c>
      <c r="F50" s="3">
        <v>559546.71500000032</v>
      </c>
      <c r="G50" s="3">
        <v>375</v>
      </c>
      <c r="H50" s="3">
        <v>0</v>
      </c>
      <c r="I50" s="3">
        <v>54.570000000000007</v>
      </c>
      <c r="J50" s="3">
        <v>36.870000000000005</v>
      </c>
      <c r="K50" s="3">
        <f t="shared" si="1"/>
        <v>375</v>
      </c>
      <c r="L50" s="5">
        <f t="shared" si="2"/>
        <v>0</v>
      </c>
      <c r="M50" s="5">
        <f t="shared" si="3"/>
        <v>67.018533028113623</v>
      </c>
      <c r="N50" s="5">
        <f t="shared" si="4"/>
        <v>7.4921796628678985</v>
      </c>
      <c r="O50" s="5">
        <f t="shared" si="5"/>
        <v>7.4921796628678985</v>
      </c>
      <c r="P50" s="5">
        <f t="shared" si="6"/>
        <v>88.848049326113454</v>
      </c>
      <c r="Q50" s="5">
        <f t="shared" si="7"/>
        <v>11.179265382793446</v>
      </c>
    </row>
    <row r="51" spans="1:17" x14ac:dyDescent="0.2">
      <c r="A51" t="str">
        <f t="shared" si="0"/>
        <v>Colorado_2013</v>
      </c>
      <c r="B51" t="s">
        <v>10</v>
      </c>
      <c r="C51">
        <v>2013</v>
      </c>
      <c r="D51" s="3">
        <v>5177271</v>
      </c>
      <c r="E51" s="3">
        <v>4581162.6829999983</v>
      </c>
      <c r="F51" s="3">
        <v>594864.76699999999</v>
      </c>
      <c r="G51" s="3">
        <v>375</v>
      </c>
      <c r="H51" s="3">
        <v>22</v>
      </c>
      <c r="I51" s="3">
        <v>54.75</v>
      </c>
      <c r="J51" s="3">
        <v>38.052380952380958</v>
      </c>
      <c r="K51" s="3">
        <f t="shared" si="1"/>
        <v>397</v>
      </c>
      <c r="L51" s="5">
        <f t="shared" si="2"/>
        <v>0.48022743400138729</v>
      </c>
      <c r="M51" s="5">
        <f t="shared" si="3"/>
        <v>63.039537858526423</v>
      </c>
      <c r="N51" s="5">
        <f t="shared" si="4"/>
        <v>7.6681324968308591</v>
      </c>
      <c r="O51" s="5">
        <f t="shared" si="5"/>
        <v>7.6681324968308591</v>
      </c>
      <c r="P51" s="5">
        <f t="shared" si="6"/>
        <v>88.486051493151479</v>
      </c>
      <c r="Q51" s="5">
        <f t="shared" si="7"/>
        <v>11.489929095849917</v>
      </c>
    </row>
    <row r="52" spans="1:17" x14ac:dyDescent="0.2">
      <c r="A52" t="str">
        <f t="shared" si="0"/>
        <v>Colorado_2014</v>
      </c>
      <c r="B52" t="s">
        <v>10</v>
      </c>
      <c r="C52">
        <v>2014</v>
      </c>
      <c r="D52" s="3">
        <v>5270658</v>
      </c>
      <c r="E52" s="3">
        <v>4644402.0860000029</v>
      </c>
      <c r="F52" s="3">
        <v>624296.29399999988</v>
      </c>
      <c r="G52" s="3">
        <v>427</v>
      </c>
      <c r="H52" s="3">
        <v>33</v>
      </c>
      <c r="I52" s="3">
        <v>55.260000000000005</v>
      </c>
      <c r="J52" s="3">
        <v>36.147619047619052</v>
      </c>
      <c r="K52" s="3">
        <f t="shared" si="1"/>
        <v>460</v>
      </c>
      <c r="L52" s="5">
        <f t="shared" si="2"/>
        <v>0.71053279601855679</v>
      </c>
      <c r="M52" s="5">
        <f t="shared" si="3"/>
        <v>68.397010218356357</v>
      </c>
      <c r="N52" s="5">
        <f t="shared" si="4"/>
        <v>8.7275630481051891</v>
      </c>
      <c r="O52" s="5">
        <f t="shared" si="5"/>
        <v>8.7275630481051891</v>
      </c>
      <c r="P52" s="5">
        <f t="shared" si="6"/>
        <v>88.118069622426702</v>
      </c>
      <c r="Q52" s="5">
        <f t="shared" si="7"/>
        <v>11.844750579529158</v>
      </c>
    </row>
    <row r="53" spans="1:17" x14ac:dyDescent="0.2">
      <c r="A53" t="str">
        <f t="shared" si="0"/>
        <v>Colorado_2015</v>
      </c>
      <c r="B53" t="s">
        <v>10</v>
      </c>
      <c r="C53">
        <v>2015</v>
      </c>
      <c r="D53" s="3">
        <v>5872653</v>
      </c>
      <c r="E53" s="3">
        <v>5138309.1130000018</v>
      </c>
      <c r="F53" s="3">
        <v>734487.37300000025</v>
      </c>
      <c r="G53" s="3">
        <v>440</v>
      </c>
      <c r="H53" s="3">
        <v>0</v>
      </c>
      <c r="I53" s="3">
        <v>50.29</v>
      </c>
      <c r="J53" s="3">
        <v>36.414285714285718</v>
      </c>
      <c r="K53" s="3">
        <f t="shared" si="1"/>
        <v>440</v>
      </c>
      <c r="L53" s="5">
        <f t="shared" si="2"/>
        <v>0</v>
      </c>
      <c r="M53" s="5">
        <f t="shared" si="3"/>
        <v>59.905726929358643</v>
      </c>
      <c r="N53" s="5">
        <f t="shared" si="4"/>
        <v>7.4923548181716164</v>
      </c>
      <c r="O53" s="5">
        <f t="shared" si="5"/>
        <v>7.4923548181716164</v>
      </c>
      <c r="P53" s="5">
        <f t="shared" si="6"/>
        <v>87.495534181910656</v>
      </c>
      <c r="Q53" s="5">
        <f t="shared" si="7"/>
        <v>12.506909109051739</v>
      </c>
    </row>
    <row r="54" spans="1:17" x14ac:dyDescent="0.2">
      <c r="A54" t="str">
        <f t="shared" si="0"/>
        <v>Colorado_2016</v>
      </c>
      <c r="B54" t="s">
        <v>10</v>
      </c>
      <c r="C54">
        <v>2016</v>
      </c>
      <c r="D54" s="3">
        <v>5359693</v>
      </c>
      <c r="E54" s="3">
        <v>4676892.1810000036</v>
      </c>
      <c r="F54" s="3">
        <v>682748.93800000008</v>
      </c>
      <c r="G54" s="3">
        <v>319</v>
      </c>
      <c r="H54" s="3">
        <v>12</v>
      </c>
      <c r="I54" s="3">
        <v>51.279999999999994</v>
      </c>
      <c r="J54" s="3">
        <v>34.668181818181814</v>
      </c>
      <c r="K54" s="3">
        <f t="shared" si="1"/>
        <v>331</v>
      </c>
      <c r="L54" s="5">
        <f t="shared" si="2"/>
        <v>0.25658064234942835</v>
      </c>
      <c r="M54" s="5">
        <f t="shared" si="3"/>
        <v>46.722884832960368</v>
      </c>
      <c r="N54" s="5">
        <f t="shared" si="4"/>
        <v>6.1757268559971621</v>
      </c>
      <c r="O54" s="5">
        <f t="shared" si="5"/>
        <v>6.1757268559971621</v>
      </c>
      <c r="P54" s="5">
        <f t="shared" si="6"/>
        <v>87.260449077960317</v>
      </c>
      <c r="Q54" s="5">
        <f t="shared" si="7"/>
        <v>12.738582937492875</v>
      </c>
    </row>
    <row r="55" spans="1:17" x14ac:dyDescent="0.2">
      <c r="A55" t="str">
        <f t="shared" si="0"/>
        <v>Colorado_2017</v>
      </c>
      <c r="B55" t="s">
        <v>10</v>
      </c>
      <c r="C55">
        <v>2017</v>
      </c>
      <c r="D55" s="3">
        <v>5915370</v>
      </c>
      <c r="E55" s="3">
        <v>5132875</v>
      </c>
      <c r="F55" s="3">
        <v>782495</v>
      </c>
      <c r="G55" s="3">
        <v>334</v>
      </c>
      <c r="H55" s="3">
        <v>42</v>
      </c>
      <c r="I55" s="3">
        <v>46.15</v>
      </c>
      <c r="J55" s="3">
        <v>34.757142857142853</v>
      </c>
      <c r="K55" s="3">
        <f t="shared" si="1"/>
        <v>376</v>
      </c>
      <c r="L55" s="5">
        <f t="shared" si="2"/>
        <v>0.81825487665294783</v>
      </c>
      <c r="M55" s="5">
        <f t="shared" si="3"/>
        <v>42.683978811366202</v>
      </c>
      <c r="N55" s="5">
        <f t="shared" si="4"/>
        <v>6.3563225968958834</v>
      </c>
      <c r="O55" s="5">
        <f t="shared" si="5"/>
        <v>6.3563225968958834</v>
      </c>
      <c r="P55" s="5">
        <f t="shared" si="6"/>
        <v>86.771833376441379</v>
      </c>
      <c r="Q55" s="5">
        <f t="shared" si="7"/>
        <v>13.228166623558627</v>
      </c>
    </row>
    <row r="56" spans="1:17" x14ac:dyDescent="0.2">
      <c r="A56" t="str">
        <f t="shared" si="0"/>
        <v>Connecticut_2009</v>
      </c>
      <c r="B56" t="s">
        <v>11</v>
      </c>
      <c r="C56">
        <v>2009</v>
      </c>
      <c r="D56" s="3">
        <v>3494487</v>
      </c>
      <c r="E56" s="3">
        <v>3018554.7050000001</v>
      </c>
      <c r="F56" s="3">
        <v>476175.16600000003</v>
      </c>
      <c r="G56" s="3">
        <v>546</v>
      </c>
      <c r="H56" s="3">
        <v>0</v>
      </c>
      <c r="I56" s="3">
        <v>49.338461538461537</v>
      </c>
      <c r="J56" s="3">
        <v>38.896428571428579</v>
      </c>
      <c r="K56" s="3">
        <f t="shared" si="1"/>
        <v>546</v>
      </c>
      <c r="L56" s="5">
        <f t="shared" si="2"/>
        <v>0</v>
      </c>
      <c r="M56" s="5">
        <f t="shared" si="3"/>
        <v>114.66368659805329</v>
      </c>
      <c r="N56" s="5">
        <f t="shared" si="4"/>
        <v>15.624610994403469</v>
      </c>
      <c r="O56" s="5">
        <f t="shared" si="5"/>
        <v>15.624610994403469</v>
      </c>
      <c r="P56" s="5">
        <f t="shared" si="6"/>
        <v>86.380481741669087</v>
      </c>
      <c r="Q56" s="5">
        <f t="shared" si="7"/>
        <v>13.626468377189557</v>
      </c>
    </row>
    <row r="57" spans="1:17" x14ac:dyDescent="0.2">
      <c r="A57" t="str">
        <f t="shared" si="0"/>
        <v>Connecticut_2010</v>
      </c>
      <c r="B57" t="s">
        <v>11</v>
      </c>
      <c r="C57">
        <v>2010</v>
      </c>
      <c r="D57" s="3">
        <v>3545837</v>
      </c>
      <c r="E57" s="3">
        <v>3055024.8390000002</v>
      </c>
      <c r="F57" s="3">
        <v>491649.24900000001</v>
      </c>
      <c r="G57" s="3">
        <v>459</v>
      </c>
      <c r="H57" s="3">
        <v>0</v>
      </c>
      <c r="I57" s="3">
        <v>57.844444444444449</v>
      </c>
      <c r="J57" s="3">
        <v>37.249999999999986</v>
      </c>
      <c r="K57" s="3">
        <f t="shared" si="1"/>
        <v>459</v>
      </c>
      <c r="L57" s="5">
        <f t="shared" si="2"/>
        <v>0</v>
      </c>
      <c r="M57" s="5">
        <f t="shared" si="3"/>
        <v>93.359239525656221</v>
      </c>
      <c r="N57" s="5">
        <f t="shared" si="4"/>
        <v>12.944757471931171</v>
      </c>
      <c r="O57" s="5">
        <f t="shared" si="5"/>
        <v>12.944757471931171</v>
      </c>
      <c r="P57" s="5">
        <f t="shared" si="6"/>
        <v>86.158073227844383</v>
      </c>
      <c r="Q57" s="5">
        <f t="shared" si="7"/>
        <v>13.865534399917426</v>
      </c>
    </row>
    <row r="58" spans="1:17" x14ac:dyDescent="0.2">
      <c r="A58" t="str">
        <f t="shared" si="0"/>
        <v>Connecticut_2011</v>
      </c>
      <c r="B58" t="s">
        <v>11</v>
      </c>
      <c r="C58">
        <v>2011</v>
      </c>
      <c r="D58" s="3">
        <v>3558172</v>
      </c>
      <c r="E58" s="3">
        <v>3055379.196</v>
      </c>
      <c r="F58" s="3">
        <v>499633.78200000001</v>
      </c>
      <c r="G58" s="3">
        <v>534</v>
      </c>
      <c r="H58" s="3">
        <v>0</v>
      </c>
      <c r="I58" s="3">
        <v>50.51</v>
      </c>
      <c r="J58" s="3">
        <v>36.984999999999992</v>
      </c>
      <c r="K58" s="3">
        <f t="shared" si="1"/>
        <v>534</v>
      </c>
      <c r="L58" s="5">
        <f t="shared" si="2"/>
        <v>0</v>
      </c>
      <c r="M58" s="5">
        <f t="shared" si="3"/>
        <v>106.87828150098946</v>
      </c>
      <c r="N58" s="5">
        <f t="shared" si="4"/>
        <v>15.007706204196987</v>
      </c>
      <c r="O58" s="5">
        <f t="shared" si="5"/>
        <v>15.007706204196987</v>
      </c>
      <c r="P58" s="5">
        <f t="shared" si="6"/>
        <v>85.869350778995496</v>
      </c>
      <c r="Q58" s="5">
        <f t="shared" si="7"/>
        <v>14.04186705982735</v>
      </c>
    </row>
    <row r="59" spans="1:17" x14ac:dyDescent="0.2">
      <c r="A59" t="str">
        <f t="shared" si="0"/>
        <v>Connecticut_2012</v>
      </c>
      <c r="B59" t="s">
        <v>11</v>
      </c>
      <c r="C59">
        <v>2012</v>
      </c>
      <c r="D59" s="3">
        <v>3572213</v>
      </c>
      <c r="E59" s="3">
        <v>3056953.7099999995</v>
      </c>
      <c r="F59" s="3">
        <v>510276.24400000006</v>
      </c>
      <c r="G59" s="3">
        <v>430</v>
      </c>
      <c r="H59" s="3">
        <v>0</v>
      </c>
      <c r="I59" s="3">
        <v>49.94</v>
      </c>
      <c r="J59" s="3">
        <v>37.195</v>
      </c>
      <c r="K59" s="3">
        <f t="shared" si="1"/>
        <v>430</v>
      </c>
      <c r="L59" s="5">
        <f t="shared" si="2"/>
        <v>0</v>
      </c>
      <c r="M59" s="5">
        <f t="shared" si="3"/>
        <v>84.268081270896857</v>
      </c>
      <c r="N59" s="5">
        <f t="shared" si="4"/>
        <v>12.037356115102877</v>
      </c>
      <c r="O59" s="5">
        <f t="shared" si="5"/>
        <v>12.037356115102877</v>
      </c>
      <c r="P59" s="5">
        <f t="shared" si="6"/>
        <v>85.575907987569593</v>
      </c>
      <c r="Q59" s="5">
        <f t="shared" si="7"/>
        <v>14.284597363035184</v>
      </c>
    </row>
    <row r="60" spans="1:17" x14ac:dyDescent="0.2">
      <c r="A60" t="str">
        <f t="shared" si="0"/>
        <v>Connecticut_2013</v>
      </c>
      <c r="B60" t="s">
        <v>11</v>
      </c>
      <c r="C60">
        <v>2013</v>
      </c>
      <c r="D60" s="3">
        <v>3583561</v>
      </c>
      <c r="E60" s="3">
        <v>3060943.5239999997</v>
      </c>
      <c r="F60" s="3">
        <v>519807.23899999994</v>
      </c>
      <c r="G60" s="3">
        <v>467</v>
      </c>
      <c r="H60" s="3">
        <v>0</v>
      </c>
      <c r="I60" s="3">
        <v>57</v>
      </c>
      <c r="J60" s="3">
        <v>38.036363636363632</v>
      </c>
      <c r="K60" s="3">
        <f t="shared" si="1"/>
        <v>467</v>
      </c>
      <c r="L60" s="5">
        <f t="shared" si="2"/>
        <v>0</v>
      </c>
      <c r="M60" s="5">
        <f t="shared" si="3"/>
        <v>89.840995846539187</v>
      </c>
      <c r="N60" s="5">
        <f t="shared" si="4"/>
        <v>13.031730170073846</v>
      </c>
      <c r="O60" s="5">
        <f t="shared" si="5"/>
        <v>13.031730170073846</v>
      </c>
      <c r="P60" s="5">
        <f t="shared" si="6"/>
        <v>85.416252827843593</v>
      </c>
      <c r="Q60" s="5">
        <f t="shared" si="7"/>
        <v>14.505326935972345</v>
      </c>
    </row>
    <row r="61" spans="1:17" x14ac:dyDescent="0.2">
      <c r="A61" t="str">
        <f t="shared" si="0"/>
        <v>Connecticut_2014</v>
      </c>
      <c r="B61" t="s">
        <v>11</v>
      </c>
      <c r="C61">
        <v>2014</v>
      </c>
      <c r="D61" s="3">
        <v>3592053</v>
      </c>
      <c r="E61" s="3">
        <v>3064320.0740000005</v>
      </c>
      <c r="F61" s="3">
        <v>531465.2840000001</v>
      </c>
      <c r="G61" s="3">
        <v>497</v>
      </c>
      <c r="H61" s="3">
        <v>0</v>
      </c>
      <c r="I61" s="3">
        <v>52.430000000000007</v>
      </c>
      <c r="J61" s="3">
        <v>41.060000000000009</v>
      </c>
      <c r="K61" s="3">
        <f t="shared" si="1"/>
        <v>497</v>
      </c>
      <c r="L61" s="5">
        <f t="shared" si="2"/>
        <v>0</v>
      </c>
      <c r="M61" s="5">
        <f t="shared" si="3"/>
        <v>93.51504509558896</v>
      </c>
      <c r="N61" s="5">
        <f t="shared" si="4"/>
        <v>13.836098743531902</v>
      </c>
      <c r="O61" s="5">
        <f t="shared" si="5"/>
        <v>13.836098743531902</v>
      </c>
      <c r="P61" s="5">
        <f t="shared" si="6"/>
        <v>85.308320172336011</v>
      </c>
      <c r="Q61" s="5">
        <f t="shared" si="7"/>
        <v>14.795585811233858</v>
      </c>
    </row>
    <row r="62" spans="1:17" x14ac:dyDescent="0.2">
      <c r="A62" t="str">
        <f t="shared" si="0"/>
        <v>Connecticut_2015</v>
      </c>
      <c r="B62" t="s">
        <v>11</v>
      </c>
      <c r="C62">
        <v>2015</v>
      </c>
      <c r="D62" s="3">
        <v>3593222</v>
      </c>
      <c r="E62" s="3">
        <v>3052999.2420000006</v>
      </c>
      <c r="F62" s="3">
        <v>542415.62000000011</v>
      </c>
      <c r="G62" s="3">
        <v>548</v>
      </c>
      <c r="H62" s="3">
        <v>0</v>
      </c>
      <c r="I62" s="3">
        <v>50.199999999999996</v>
      </c>
      <c r="J62" s="3">
        <v>40.114285714285714</v>
      </c>
      <c r="K62" s="3">
        <f t="shared" si="1"/>
        <v>548</v>
      </c>
      <c r="L62" s="5">
        <f t="shared" si="2"/>
        <v>0</v>
      </c>
      <c r="M62" s="5">
        <f t="shared" si="3"/>
        <v>101.02953893547533</v>
      </c>
      <c r="N62" s="5">
        <f t="shared" si="4"/>
        <v>15.250936346265274</v>
      </c>
      <c r="O62" s="5">
        <f t="shared" si="5"/>
        <v>15.250936346265274</v>
      </c>
      <c r="P62" s="5">
        <f t="shared" si="6"/>
        <v>84.9655056659455</v>
      </c>
      <c r="Q62" s="5">
        <f t="shared" si="7"/>
        <v>15.095522069051123</v>
      </c>
    </row>
    <row r="63" spans="1:17" x14ac:dyDescent="0.2">
      <c r="A63" t="str">
        <f t="shared" si="0"/>
        <v>Connecticut_2016</v>
      </c>
      <c r="B63" t="s">
        <v>11</v>
      </c>
      <c r="C63">
        <v>2016</v>
      </c>
      <c r="D63" s="3">
        <v>3588570</v>
      </c>
      <c r="E63" s="3">
        <v>3037097.79</v>
      </c>
      <c r="F63" s="3">
        <v>553638.56299999997</v>
      </c>
      <c r="G63" s="3">
        <v>399</v>
      </c>
      <c r="H63" s="3">
        <v>0</v>
      </c>
      <c r="I63" s="3">
        <v>50.230000000000004</v>
      </c>
      <c r="J63" s="3">
        <v>38.336363636363629</v>
      </c>
      <c r="K63" s="3">
        <f t="shared" si="1"/>
        <v>399</v>
      </c>
      <c r="L63" s="5">
        <f t="shared" si="2"/>
        <v>0</v>
      </c>
      <c r="M63" s="5">
        <f t="shared" si="3"/>
        <v>72.068679218792056</v>
      </c>
      <c r="N63" s="5">
        <f t="shared" si="4"/>
        <v>11.118634999456608</v>
      </c>
      <c r="O63" s="5">
        <f t="shared" si="5"/>
        <v>11.118634999456608</v>
      </c>
      <c r="P63" s="5">
        <f t="shared" si="6"/>
        <v>84.6325358011687</v>
      </c>
      <c r="Q63" s="5">
        <f t="shared" si="7"/>
        <v>15.427832339901409</v>
      </c>
    </row>
    <row r="64" spans="1:17" x14ac:dyDescent="0.2">
      <c r="A64" t="str">
        <f t="shared" si="0"/>
        <v>Connecticut_2017</v>
      </c>
      <c r="B64" t="s">
        <v>11</v>
      </c>
      <c r="C64">
        <v>2017</v>
      </c>
      <c r="D64" s="3">
        <v>3594478</v>
      </c>
      <c r="E64" s="3">
        <v>3018721</v>
      </c>
      <c r="F64" s="3">
        <v>575757</v>
      </c>
      <c r="G64" s="3">
        <v>527</v>
      </c>
      <c r="H64" s="3">
        <v>10</v>
      </c>
      <c r="I64" s="3">
        <v>45.820000000000007</v>
      </c>
      <c r="J64" s="3">
        <v>35.18181818181818</v>
      </c>
      <c r="K64" s="3">
        <f t="shared" si="1"/>
        <v>537</v>
      </c>
      <c r="L64" s="5">
        <f t="shared" si="2"/>
        <v>0.33126612230809005</v>
      </c>
      <c r="M64" s="5">
        <f t="shared" si="3"/>
        <v>91.531670479038908</v>
      </c>
      <c r="N64" s="5">
        <f t="shared" si="4"/>
        <v>14.93958232600116</v>
      </c>
      <c r="O64" s="5">
        <f t="shared" si="5"/>
        <v>14.93958232600116</v>
      </c>
      <c r="P64" s="5">
        <f t="shared" si="6"/>
        <v>83.982180444559688</v>
      </c>
      <c r="Q64" s="5">
        <f t="shared" si="7"/>
        <v>16.017819555440315</v>
      </c>
    </row>
    <row r="65" spans="1:17" x14ac:dyDescent="0.2">
      <c r="A65" t="str">
        <f t="shared" si="0"/>
        <v>Delaware_2009</v>
      </c>
      <c r="B65" t="s">
        <v>12</v>
      </c>
      <c r="C65">
        <v>2009</v>
      </c>
      <c r="D65" s="3">
        <v>863832</v>
      </c>
      <c r="E65" s="3">
        <v>745245.96200000006</v>
      </c>
      <c r="F65" s="3">
        <v>119147.20600000001</v>
      </c>
      <c r="G65" s="3">
        <v>0</v>
      </c>
      <c r="H65" s="3">
        <v>0</v>
      </c>
      <c r="I65" s="3">
        <v>45.942307692307693</v>
      </c>
      <c r="J65" s="3">
        <v>42.7607142857143</v>
      </c>
      <c r="K65" s="3">
        <f t="shared" si="1"/>
        <v>0</v>
      </c>
      <c r="L65" s="5">
        <f t="shared" si="2"/>
        <v>0</v>
      </c>
      <c r="M65" s="5">
        <f t="shared" si="3"/>
        <v>0</v>
      </c>
      <c r="N65" s="5">
        <f t="shared" si="4"/>
        <v>0</v>
      </c>
      <c r="O65" s="5">
        <f t="shared" si="5"/>
        <v>0</v>
      </c>
      <c r="P65" s="5">
        <f t="shared" si="6"/>
        <v>86.27209480547144</v>
      </c>
      <c r="Q65" s="5">
        <f t="shared" si="7"/>
        <v>13.792867826151381</v>
      </c>
    </row>
    <row r="66" spans="1:17" x14ac:dyDescent="0.2">
      <c r="A66" t="str">
        <f t="shared" si="0"/>
        <v>Delaware_2010</v>
      </c>
      <c r="B66" t="s">
        <v>12</v>
      </c>
      <c r="C66">
        <v>2010</v>
      </c>
      <c r="D66" s="3">
        <v>881278</v>
      </c>
      <c r="E66" s="3">
        <v>758912.554</v>
      </c>
      <c r="F66" s="3">
        <v>122781.06600000001</v>
      </c>
      <c r="G66" s="3">
        <v>10</v>
      </c>
      <c r="H66" s="3">
        <v>0</v>
      </c>
      <c r="I66" s="3">
        <v>54.819999999999993</v>
      </c>
      <c r="J66" s="3">
        <v>34.89473684210526</v>
      </c>
      <c r="K66" s="3">
        <f t="shared" si="1"/>
        <v>10</v>
      </c>
      <c r="L66" s="5">
        <f t="shared" si="2"/>
        <v>0</v>
      </c>
      <c r="M66" s="5">
        <f t="shared" si="3"/>
        <v>8.1445782528065021</v>
      </c>
      <c r="N66" s="5">
        <f t="shared" si="4"/>
        <v>1.1347157196707509</v>
      </c>
      <c r="O66" s="5">
        <f t="shared" si="5"/>
        <v>1.1347157196707509</v>
      </c>
      <c r="P66" s="5">
        <f t="shared" si="6"/>
        <v>86.115000487927759</v>
      </c>
      <c r="Q66" s="5">
        <f t="shared" si="7"/>
        <v>13.932160566813199</v>
      </c>
    </row>
    <row r="67" spans="1:17" x14ac:dyDescent="0.2">
      <c r="A67" t="str">
        <f t="shared" ref="A67:A130" si="8">B67&amp;"_"&amp;C67</f>
        <v>Delaware_2011</v>
      </c>
      <c r="B67" t="s">
        <v>12</v>
      </c>
      <c r="C67">
        <v>2011</v>
      </c>
      <c r="D67" s="3">
        <v>890856</v>
      </c>
      <c r="E67" s="3">
        <v>763429.57799999998</v>
      </c>
      <c r="F67" s="3">
        <v>126582.41399999999</v>
      </c>
      <c r="G67" s="3">
        <v>0</v>
      </c>
      <c r="H67" s="3">
        <v>0</v>
      </c>
      <c r="I67" s="3">
        <v>54.6</v>
      </c>
      <c r="J67" s="3">
        <v>34.86</v>
      </c>
      <c r="K67" s="3">
        <f t="shared" ref="K67:K130" si="9">G67+H67</f>
        <v>0</v>
      </c>
      <c r="L67" s="5">
        <f t="shared" ref="L67:L130" si="10">IF(E67=0,"",H67/E67*100000)</f>
        <v>0</v>
      </c>
      <c r="M67" s="5">
        <f t="shared" ref="M67:M130" si="11">IF(F67=0,"",G67/F67*100000)</f>
        <v>0</v>
      </c>
      <c r="N67" s="5">
        <f t="shared" ref="N67:N130" si="12">IF(D67=0,"",K67/D67*100000)</f>
        <v>0</v>
      </c>
      <c r="O67" s="5">
        <f t="shared" ref="O67:O130" si="13">N67</f>
        <v>0</v>
      </c>
      <c r="P67" s="5">
        <f t="shared" ref="P67:P130" si="14">IF(D67=0,"",E67/D67*100)</f>
        <v>85.696181874511694</v>
      </c>
      <c r="Q67" s="5">
        <f t="shared" ref="Q67:Q130" si="15">IF(D67=0,"",F67/D67*100)</f>
        <v>14.209076887847194</v>
      </c>
    </row>
    <row r="68" spans="1:17" x14ac:dyDescent="0.2">
      <c r="A68" t="str">
        <f t="shared" si="8"/>
        <v>Delaware_2012</v>
      </c>
      <c r="B68" t="s">
        <v>12</v>
      </c>
      <c r="C68">
        <v>2012</v>
      </c>
      <c r="D68" s="3">
        <v>900131</v>
      </c>
      <c r="E68" s="3">
        <v>768807.01</v>
      </c>
      <c r="F68" s="3">
        <v>130733.01499999998</v>
      </c>
      <c r="G68" s="3">
        <v>21</v>
      </c>
      <c r="H68" s="3">
        <v>0</v>
      </c>
      <c r="I68" s="3">
        <v>54.830000000000005</v>
      </c>
      <c r="J68" s="3">
        <v>40.094999999999999</v>
      </c>
      <c r="K68" s="3">
        <f t="shared" si="9"/>
        <v>21</v>
      </c>
      <c r="L68" s="5">
        <f t="shared" si="10"/>
        <v>0</v>
      </c>
      <c r="M68" s="5">
        <f t="shared" si="11"/>
        <v>16.06327215814613</v>
      </c>
      <c r="N68" s="5">
        <f t="shared" si="12"/>
        <v>2.3329937531314888</v>
      </c>
      <c r="O68" s="5">
        <f t="shared" si="13"/>
        <v>2.3329937531314888</v>
      </c>
      <c r="P68" s="5">
        <f t="shared" si="14"/>
        <v>85.410569128271334</v>
      </c>
      <c r="Q68" s="5">
        <f t="shared" si="15"/>
        <v>14.523776539192626</v>
      </c>
    </row>
    <row r="69" spans="1:17" x14ac:dyDescent="0.2">
      <c r="A69" t="str">
        <f t="shared" si="8"/>
        <v>Delaware_2013</v>
      </c>
      <c r="B69" t="s">
        <v>12</v>
      </c>
      <c r="C69">
        <v>2013</v>
      </c>
      <c r="D69" s="3">
        <v>908446</v>
      </c>
      <c r="E69" s="3">
        <v>773012.60800000001</v>
      </c>
      <c r="F69" s="3">
        <v>135397.79</v>
      </c>
      <c r="G69" s="3">
        <v>10</v>
      </c>
      <c r="H69" s="3">
        <v>0</v>
      </c>
      <c r="I69" s="3">
        <v>52.96</v>
      </c>
      <c r="J69" s="3">
        <v>37.595238095238088</v>
      </c>
      <c r="K69" s="3">
        <f t="shared" si="9"/>
        <v>10</v>
      </c>
      <c r="L69" s="5">
        <f t="shared" si="10"/>
        <v>0</v>
      </c>
      <c r="M69" s="5">
        <f t="shared" si="11"/>
        <v>7.3856449207922816</v>
      </c>
      <c r="N69" s="5">
        <f t="shared" si="12"/>
        <v>1.1007808939661796</v>
      </c>
      <c r="O69" s="5">
        <f t="shared" si="13"/>
        <v>1.1007808939661796</v>
      </c>
      <c r="P69" s="5">
        <f t="shared" si="14"/>
        <v>85.091750968136793</v>
      </c>
      <c r="Q69" s="5">
        <f t="shared" si="15"/>
        <v>14.904330031724506</v>
      </c>
    </row>
    <row r="70" spans="1:17" x14ac:dyDescent="0.2">
      <c r="A70" t="str">
        <f t="shared" si="8"/>
        <v>Delaware_2014</v>
      </c>
      <c r="B70" t="s">
        <v>12</v>
      </c>
      <c r="C70">
        <v>2014</v>
      </c>
      <c r="D70" s="3">
        <v>917060</v>
      </c>
      <c r="E70" s="3">
        <v>776040.39500000002</v>
      </c>
      <c r="F70" s="3">
        <v>141084.96999999997</v>
      </c>
      <c r="G70" s="3">
        <v>31</v>
      </c>
      <c r="H70" s="3">
        <v>0</v>
      </c>
      <c r="I70" s="3">
        <v>53.780000000000008</v>
      </c>
      <c r="J70" s="3">
        <v>41.095000000000006</v>
      </c>
      <c r="K70" s="3">
        <f t="shared" si="9"/>
        <v>31</v>
      </c>
      <c r="L70" s="5">
        <f t="shared" si="10"/>
        <v>0</v>
      </c>
      <c r="M70" s="5">
        <f t="shared" si="11"/>
        <v>21.972574399668517</v>
      </c>
      <c r="N70" s="5">
        <f t="shared" si="12"/>
        <v>3.3803676967701128</v>
      </c>
      <c r="O70" s="5">
        <f t="shared" si="13"/>
        <v>3.3803676967701128</v>
      </c>
      <c r="P70" s="5">
        <f t="shared" si="14"/>
        <v>84.62264137570061</v>
      </c>
      <c r="Q70" s="5">
        <f t="shared" si="15"/>
        <v>15.384486293154206</v>
      </c>
    </row>
    <row r="71" spans="1:17" x14ac:dyDescent="0.2">
      <c r="A71" t="str">
        <f t="shared" si="8"/>
        <v>Delaware_2015</v>
      </c>
      <c r="B71" t="s">
        <v>12</v>
      </c>
      <c r="C71">
        <v>2015</v>
      </c>
      <c r="D71" s="3">
        <v>926454</v>
      </c>
      <c r="E71" s="3">
        <v>778731.78099999996</v>
      </c>
      <c r="F71" s="3">
        <v>147549.38700000002</v>
      </c>
      <c r="G71" s="3">
        <v>52</v>
      </c>
      <c r="H71" s="3">
        <v>0</v>
      </c>
      <c r="I71" s="3">
        <v>52.61</v>
      </c>
      <c r="J71" s="3">
        <v>37.980952380952388</v>
      </c>
      <c r="K71" s="3">
        <f t="shared" si="9"/>
        <v>52</v>
      </c>
      <c r="L71" s="5">
        <f t="shared" si="10"/>
        <v>0</v>
      </c>
      <c r="M71" s="5">
        <f t="shared" si="11"/>
        <v>35.242437164445818</v>
      </c>
      <c r="N71" s="5">
        <f t="shared" si="12"/>
        <v>5.6127989085264893</v>
      </c>
      <c r="O71" s="5">
        <f t="shared" si="13"/>
        <v>5.6127989085264893</v>
      </c>
      <c r="P71" s="5">
        <f t="shared" si="14"/>
        <v>84.055094046763244</v>
      </c>
      <c r="Q71" s="5">
        <f t="shared" si="15"/>
        <v>15.926250736679858</v>
      </c>
    </row>
    <row r="72" spans="1:17" x14ac:dyDescent="0.2">
      <c r="A72" t="str">
        <f t="shared" si="8"/>
        <v>Delaware_2016</v>
      </c>
      <c r="B72" t="s">
        <v>12</v>
      </c>
      <c r="C72">
        <v>2016</v>
      </c>
      <c r="D72" s="3">
        <v>934695</v>
      </c>
      <c r="E72" s="3">
        <v>781548.20699999994</v>
      </c>
      <c r="F72" s="3">
        <v>153659.03999999998</v>
      </c>
      <c r="G72" s="3">
        <v>0</v>
      </c>
      <c r="H72" s="3">
        <v>0</v>
      </c>
      <c r="I72" s="3">
        <v>55.590000000000011</v>
      </c>
      <c r="J72" s="3">
        <v>39.945</v>
      </c>
      <c r="K72" s="3">
        <f t="shared" si="9"/>
        <v>0</v>
      </c>
      <c r="L72" s="5">
        <f t="shared" si="10"/>
        <v>0</v>
      </c>
      <c r="M72" s="5">
        <f t="shared" si="11"/>
        <v>0</v>
      </c>
      <c r="N72" s="5">
        <f t="shared" si="12"/>
        <v>0</v>
      </c>
      <c r="O72" s="5">
        <f t="shared" si="13"/>
        <v>0</v>
      </c>
      <c r="P72" s="5">
        <f t="shared" si="14"/>
        <v>83.615319114791447</v>
      </c>
      <c r="Q72" s="5">
        <f t="shared" si="15"/>
        <v>16.439484537736906</v>
      </c>
    </row>
    <row r="73" spans="1:17" x14ac:dyDescent="0.2">
      <c r="A73" t="str">
        <f t="shared" si="8"/>
        <v>Delaware_2017</v>
      </c>
      <c r="B73" t="s">
        <v>12</v>
      </c>
      <c r="C73">
        <v>2017</v>
      </c>
      <c r="D73" s="3">
        <v>943732</v>
      </c>
      <c r="E73" s="3">
        <v>783167</v>
      </c>
      <c r="F73" s="3">
        <v>160565</v>
      </c>
      <c r="G73" s="3">
        <v>10</v>
      </c>
      <c r="H73" s="3">
        <v>0</v>
      </c>
      <c r="I73" s="3">
        <v>50.46</v>
      </c>
      <c r="J73" s="3">
        <v>36.519047619047612</v>
      </c>
      <c r="K73" s="3">
        <f t="shared" si="9"/>
        <v>10</v>
      </c>
      <c r="L73" s="5">
        <f t="shared" si="10"/>
        <v>0</v>
      </c>
      <c r="M73" s="5">
        <f t="shared" si="11"/>
        <v>6.2280073490486716</v>
      </c>
      <c r="N73" s="5">
        <f t="shared" si="12"/>
        <v>1.0596228590320134</v>
      </c>
      <c r="O73" s="5">
        <f t="shared" si="13"/>
        <v>1.0596228590320134</v>
      </c>
      <c r="P73" s="5">
        <f t="shared" si="14"/>
        <v>82.986165563952468</v>
      </c>
      <c r="Q73" s="5">
        <f t="shared" si="15"/>
        <v>17.013834436047524</v>
      </c>
    </row>
    <row r="74" spans="1:17" x14ac:dyDescent="0.2">
      <c r="A74" t="str">
        <f t="shared" si="8"/>
        <v>District of Columbia_2009</v>
      </c>
      <c r="B74" t="s">
        <v>13</v>
      </c>
      <c r="C74">
        <v>2009</v>
      </c>
      <c r="D74" s="3">
        <v>588433</v>
      </c>
      <c r="E74" s="3">
        <v>519586.33899999998</v>
      </c>
      <c r="F74" s="3">
        <v>70023.527000000002</v>
      </c>
      <c r="G74" s="3">
        <v>0</v>
      </c>
      <c r="H74" s="3">
        <v>0</v>
      </c>
      <c r="I74" s="3">
        <v>39.117857142857147</v>
      </c>
      <c r="J74" s="3">
        <v>41.903846153846146</v>
      </c>
      <c r="K74" s="3">
        <f t="shared" si="9"/>
        <v>0</v>
      </c>
      <c r="L74" s="5">
        <f t="shared" si="10"/>
        <v>0</v>
      </c>
      <c r="M74" s="5">
        <f t="shared" si="11"/>
        <v>0</v>
      </c>
      <c r="N74" s="5">
        <f t="shared" si="12"/>
        <v>0</v>
      </c>
      <c r="O74" s="5">
        <f t="shared" si="13"/>
        <v>0</v>
      </c>
      <c r="P74" s="5">
        <f t="shared" si="14"/>
        <v>88.3</v>
      </c>
      <c r="Q74" s="5">
        <f t="shared" si="15"/>
        <v>11.9</v>
      </c>
    </row>
    <row r="75" spans="1:17" x14ac:dyDescent="0.2">
      <c r="A75" t="str">
        <f t="shared" si="8"/>
        <v>District of Columbia_2010</v>
      </c>
      <c r="B75" t="s">
        <v>13</v>
      </c>
      <c r="C75">
        <v>2010</v>
      </c>
      <c r="D75" s="3">
        <v>584400</v>
      </c>
      <c r="E75" s="3">
        <v>518362.80000000005</v>
      </c>
      <c r="F75" s="3">
        <v>67206</v>
      </c>
      <c r="G75" s="3">
        <v>0</v>
      </c>
      <c r="H75" s="3">
        <v>0</v>
      </c>
      <c r="I75" s="3">
        <v>50.022222222222219</v>
      </c>
      <c r="J75" s="3">
        <v>37.07</v>
      </c>
      <c r="K75" s="3">
        <f t="shared" si="9"/>
        <v>0</v>
      </c>
      <c r="L75" s="5">
        <f t="shared" si="10"/>
        <v>0</v>
      </c>
      <c r="M75" s="5">
        <f t="shared" si="11"/>
        <v>0</v>
      </c>
      <c r="N75" s="5">
        <f t="shared" si="12"/>
        <v>0</v>
      </c>
      <c r="O75" s="5">
        <f t="shared" si="13"/>
        <v>0</v>
      </c>
      <c r="P75" s="5">
        <f t="shared" si="14"/>
        <v>88.700000000000017</v>
      </c>
      <c r="Q75" s="5">
        <f t="shared" si="15"/>
        <v>11.5</v>
      </c>
    </row>
    <row r="76" spans="1:17" x14ac:dyDescent="0.2">
      <c r="A76" t="str">
        <f t="shared" si="8"/>
        <v>District of Columbia_2011</v>
      </c>
      <c r="B76" t="s">
        <v>13</v>
      </c>
      <c r="C76">
        <v>2011</v>
      </c>
      <c r="D76" s="3">
        <v>593955</v>
      </c>
      <c r="E76" s="3">
        <v>526838.08499999996</v>
      </c>
      <c r="F76" s="3">
        <v>67116.915000000008</v>
      </c>
      <c r="G76" s="3" t="s">
        <v>61</v>
      </c>
      <c r="H76" s="3" t="s">
        <v>61</v>
      </c>
      <c r="I76" s="3">
        <v>50.977777777777789</v>
      </c>
      <c r="J76" s="3">
        <v>39</v>
      </c>
      <c r="K76" s="3" t="e">
        <f t="shared" si="9"/>
        <v>#VALUE!</v>
      </c>
      <c r="L76" s="5" t="e">
        <f t="shared" si="10"/>
        <v>#VALUE!</v>
      </c>
      <c r="M76" s="5" t="e">
        <f t="shared" si="11"/>
        <v>#VALUE!</v>
      </c>
      <c r="N76" s="5" t="e">
        <f t="shared" si="12"/>
        <v>#VALUE!</v>
      </c>
      <c r="O76" s="5" t="e">
        <f t="shared" si="13"/>
        <v>#VALUE!</v>
      </c>
      <c r="P76" s="5">
        <f t="shared" si="14"/>
        <v>88.699999999999989</v>
      </c>
      <c r="Q76" s="5">
        <f t="shared" si="15"/>
        <v>11.300000000000002</v>
      </c>
    </row>
    <row r="77" spans="1:17" x14ac:dyDescent="0.2">
      <c r="A77" t="str">
        <f t="shared" si="8"/>
        <v>District of Columbia_2012</v>
      </c>
      <c r="B77" t="s">
        <v>13</v>
      </c>
      <c r="C77">
        <v>2012</v>
      </c>
      <c r="D77" s="3">
        <v>605759</v>
      </c>
      <c r="E77" s="3">
        <v>535490.95600000001</v>
      </c>
      <c r="F77" s="3">
        <v>69662.285000000003</v>
      </c>
      <c r="G77" s="3">
        <v>0</v>
      </c>
      <c r="H77" s="3">
        <v>0</v>
      </c>
      <c r="I77" s="3">
        <v>51.533333333333331</v>
      </c>
      <c r="J77" s="3">
        <v>41.989473684210516</v>
      </c>
      <c r="K77" s="3">
        <f t="shared" si="9"/>
        <v>0</v>
      </c>
      <c r="L77" s="5">
        <f t="shared" si="10"/>
        <v>0</v>
      </c>
      <c r="M77" s="5">
        <f t="shared" si="11"/>
        <v>0</v>
      </c>
      <c r="N77" s="5">
        <f t="shared" si="12"/>
        <v>0</v>
      </c>
      <c r="O77" s="5">
        <f t="shared" si="13"/>
        <v>0</v>
      </c>
      <c r="P77" s="5">
        <f t="shared" si="14"/>
        <v>88.4</v>
      </c>
      <c r="Q77" s="5">
        <f t="shared" si="15"/>
        <v>11.5</v>
      </c>
    </row>
    <row r="78" spans="1:17" x14ac:dyDescent="0.2">
      <c r="A78" t="str">
        <f t="shared" si="8"/>
        <v>District of Columbia_2013</v>
      </c>
      <c r="B78" t="s">
        <v>13</v>
      </c>
      <c r="C78">
        <v>2013</v>
      </c>
      <c r="D78" s="3">
        <v>619371</v>
      </c>
      <c r="E78" s="3">
        <v>547523.96400000004</v>
      </c>
      <c r="F78" s="3">
        <v>69988.922999999995</v>
      </c>
      <c r="G78" s="3">
        <v>0</v>
      </c>
      <c r="H78" s="3">
        <v>0</v>
      </c>
      <c r="I78" s="3">
        <v>50.022222222222226</v>
      </c>
      <c r="J78" s="3">
        <v>40.569999999999986</v>
      </c>
      <c r="K78" s="3">
        <f t="shared" si="9"/>
        <v>0</v>
      </c>
      <c r="L78" s="5">
        <f t="shared" si="10"/>
        <v>0</v>
      </c>
      <c r="M78" s="5">
        <f t="shared" si="11"/>
        <v>0</v>
      </c>
      <c r="N78" s="5">
        <f t="shared" si="12"/>
        <v>0</v>
      </c>
      <c r="O78" s="5">
        <f t="shared" si="13"/>
        <v>0</v>
      </c>
      <c r="P78" s="5">
        <f t="shared" si="14"/>
        <v>88.4</v>
      </c>
      <c r="Q78" s="5">
        <f t="shared" si="15"/>
        <v>11.299999999999999</v>
      </c>
    </row>
    <row r="79" spans="1:17" x14ac:dyDescent="0.2">
      <c r="A79" t="str">
        <f t="shared" si="8"/>
        <v>District of Columbia_2014</v>
      </c>
      <c r="B79" t="s">
        <v>13</v>
      </c>
      <c r="C79">
        <v>2014</v>
      </c>
      <c r="D79" s="3">
        <v>633736</v>
      </c>
      <c r="E79" s="3">
        <v>562123.83199999994</v>
      </c>
      <c r="F79" s="3">
        <v>71612.168000000005</v>
      </c>
      <c r="G79" s="3">
        <v>0</v>
      </c>
      <c r="H79" s="3">
        <v>0</v>
      </c>
      <c r="I79" s="3">
        <v>48.955555555555549</v>
      </c>
      <c r="J79" s="3">
        <v>40.085000000000001</v>
      </c>
      <c r="K79" s="3">
        <f t="shared" si="9"/>
        <v>0</v>
      </c>
      <c r="L79" s="5">
        <f t="shared" si="10"/>
        <v>0</v>
      </c>
      <c r="M79" s="5">
        <f t="shared" si="11"/>
        <v>0</v>
      </c>
      <c r="N79" s="5">
        <f t="shared" si="12"/>
        <v>0</v>
      </c>
      <c r="O79" s="5">
        <f t="shared" si="13"/>
        <v>0</v>
      </c>
      <c r="P79" s="5">
        <f t="shared" si="14"/>
        <v>88.699999999999989</v>
      </c>
      <c r="Q79" s="5">
        <f t="shared" si="15"/>
        <v>11.3</v>
      </c>
    </row>
    <row r="80" spans="1:17" x14ac:dyDescent="0.2">
      <c r="A80" t="str">
        <f t="shared" si="8"/>
        <v>District of Columbia_2015</v>
      </c>
      <c r="B80" t="s">
        <v>13</v>
      </c>
      <c r="C80">
        <v>2015</v>
      </c>
      <c r="D80" s="3">
        <v>647484</v>
      </c>
      <c r="E80" s="3">
        <v>573670.82399999991</v>
      </c>
      <c r="F80" s="3">
        <v>73813.175999999992</v>
      </c>
      <c r="G80" s="3">
        <v>0</v>
      </c>
      <c r="H80" s="3">
        <v>0</v>
      </c>
      <c r="I80" s="3">
        <v>44.36666666666666</v>
      </c>
      <c r="J80" s="3">
        <v>40.144999999999996</v>
      </c>
      <c r="K80" s="3">
        <f t="shared" si="9"/>
        <v>0</v>
      </c>
      <c r="L80" s="5">
        <f t="shared" si="10"/>
        <v>0</v>
      </c>
      <c r="M80" s="5">
        <f t="shared" si="11"/>
        <v>0</v>
      </c>
      <c r="N80" s="5">
        <f t="shared" si="12"/>
        <v>0</v>
      </c>
      <c r="O80" s="5">
        <f t="shared" si="13"/>
        <v>0</v>
      </c>
      <c r="P80" s="5">
        <f t="shared" si="14"/>
        <v>88.6</v>
      </c>
      <c r="Q80" s="5">
        <f t="shared" si="15"/>
        <v>11.399999999999999</v>
      </c>
    </row>
    <row r="81" spans="1:17" x14ac:dyDescent="0.2">
      <c r="A81" t="str">
        <f t="shared" si="8"/>
        <v>District of Columbia_2016</v>
      </c>
      <c r="B81" t="s">
        <v>13</v>
      </c>
      <c r="C81">
        <v>2016</v>
      </c>
      <c r="D81" s="3">
        <v>659009</v>
      </c>
      <c r="E81" s="3">
        <v>585199.99200000009</v>
      </c>
      <c r="F81" s="3">
        <v>75127.025999999998</v>
      </c>
      <c r="G81" s="3">
        <v>0</v>
      </c>
      <c r="H81" s="3">
        <v>0</v>
      </c>
      <c r="I81" s="3">
        <v>51.844444444444449</v>
      </c>
      <c r="J81" s="3">
        <v>40.199999999999996</v>
      </c>
      <c r="K81" s="3">
        <f t="shared" si="9"/>
        <v>0</v>
      </c>
      <c r="L81" s="5">
        <f t="shared" si="10"/>
        <v>0</v>
      </c>
      <c r="M81" s="5">
        <f t="shared" si="11"/>
        <v>0</v>
      </c>
      <c r="N81" s="5">
        <f t="shared" si="12"/>
        <v>0</v>
      </c>
      <c r="O81" s="5">
        <f t="shared" si="13"/>
        <v>0</v>
      </c>
      <c r="P81" s="5">
        <f t="shared" si="14"/>
        <v>88.800000000000011</v>
      </c>
      <c r="Q81" s="5">
        <f t="shared" si="15"/>
        <v>11.399999999999999</v>
      </c>
    </row>
    <row r="82" spans="1:17" x14ac:dyDescent="0.2">
      <c r="A82" t="str">
        <f t="shared" si="8"/>
        <v>District of Columbia_2017</v>
      </c>
      <c r="B82" t="s">
        <v>13</v>
      </c>
      <c r="C82">
        <v>2017</v>
      </c>
      <c r="D82" s="3">
        <v>672391</v>
      </c>
      <c r="E82" s="3">
        <v>592622</v>
      </c>
      <c r="F82" s="3">
        <v>79769</v>
      </c>
      <c r="G82" s="3">
        <v>0</v>
      </c>
      <c r="H82" s="3">
        <v>0</v>
      </c>
      <c r="I82" s="3">
        <v>38.4</v>
      </c>
      <c r="J82" s="3">
        <v>38.886666666666663</v>
      </c>
      <c r="K82" s="3">
        <f t="shared" si="9"/>
        <v>0</v>
      </c>
      <c r="L82" s="5">
        <f t="shared" si="10"/>
        <v>0</v>
      </c>
      <c r="M82" s="5">
        <f t="shared" si="11"/>
        <v>0</v>
      </c>
      <c r="N82" s="5">
        <f t="shared" si="12"/>
        <v>0</v>
      </c>
      <c r="O82" s="5">
        <f t="shared" si="13"/>
        <v>0</v>
      </c>
      <c r="P82" s="5">
        <f t="shared" si="14"/>
        <v>88.136515807023002</v>
      </c>
      <c r="Q82" s="5">
        <f t="shared" si="15"/>
        <v>11.863484192977003</v>
      </c>
    </row>
    <row r="83" spans="1:17" x14ac:dyDescent="0.2">
      <c r="A83" t="str">
        <f t="shared" si="8"/>
        <v>Florida_2009</v>
      </c>
      <c r="B83" t="s">
        <v>14</v>
      </c>
      <c r="C83">
        <v>2009</v>
      </c>
      <c r="D83" s="3">
        <v>18222420</v>
      </c>
      <c r="E83" s="3">
        <v>15154751.511000002</v>
      </c>
      <c r="F83" s="3">
        <v>3071464.9319999991</v>
      </c>
      <c r="G83" s="3">
        <v>1861</v>
      </c>
      <c r="H83" s="3">
        <v>393</v>
      </c>
      <c r="I83" s="3">
        <v>41.939285714285703</v>
      </c>
      <c r="J83" s="3">
        <v>31.524999999999999</v>
      </c>
      <c r="K83" s="3">
        <f t="shared" si="9"/>
        <v>2254</v>
      </c>
      <c r="L83" s="5">
        <f t="shared" si="10"/>
        <v>2.5932460833471462</v>
      </c>
      <c r="M83" s="5">
        <f t="shared" si="11"/>
        <v>60.589980390503797</v>
      </c>
      <c r="N83" s="5">
        <f t="shared" si="12"/>
        <v>12.369377942117458</v>
      </c>
      <c r="O83" s="5">
        <f t="shared" si="13"/>
        <v>12.369377942117458</v>
      </c>
      <c r="P83" s="5">
        <f t="shared" si="14"/>
        <v>83.165416618648905</v>
      </c>
      <c r="Q83" s="5">
        <f t="shared" si="15"/>
        <v>16.855417293641565</v>
      </c>
    </row>
    <row r="84" spans="1:17" x14ac:dyDescent="0.2">
      <c r="A84" t="str">
        <f t="shared" si="8"/>
        <v>Florida_2010</v>
      </c>
      <c r="B84" t="s">
        <v>14</v>
      </c>
      <c r="C84">
        <v>2010</v>
      </c>
      <c r="D84" s="3">
        <v>18549507</v>
      </c>
      <c r="E84" s="3">
        <v>15403595.583000002</v>
      </c>
      <c r="F84" s="3">
        <v>3140405.9570000004</v>
      </c>
      <c r="G84" s="3">
        <v>1904</v>
      </c>
      <c r="H84" s="3">
        <v>200</v>
      </c>
      <c r="I84" s="3">
        <v>49.680000000000007</v>
      </c>
      <c r="J84" s="3">
        <v>24.439999999999998</v>
      </c>
      <c r="K84" s="3">
        <f t="shared" si="9"/>
        <v>2104</v>
      </c>
      <c r="L84" s="5">
        <f t="shared" si="10"/>
        <v>1.2983981494601666</v>
      </c>
      <c r="M84" s="5">
        <f t="shared" si="11"/>
        <v>60.629104200874494</v>
      </c>
      <c r="N84" s="5">
        <f t="shared" si="12"/>
        <v>11.342619510049513</v>
      </c>
      <c r="O84" s="5">
        <f t="shared" si="13"/>
        <v>11.342619510049513</v>
      </c>
      <c r="P84" s="5">
        <f t="shared" si="14"/>
        <v>83.040458072551488</v>
      </c>
      <c r="Q84" s="5">
        <f t="shared" si="15"/>
        <v>16.929862109003764</v>
      </c>
    </row>
    <row r="85" spans="1:17" x14ac:dyDescent="0.2">
      <c r="A85" t="str">
        <f t="shared" si="8"/>
        <v>Florida_2011</v>
      </c>
      <c r="B85" t="s">
        <v>14</v>
      </c>
      <c r="C85">
        <v>2011</v>
      </c>
      <c r="D85" s="3">
        <v>18633958</v>
      </c>
      <c r="E85" s="3">
        <v>15437045.491</v>
      </c>
      <c r="F85" s="3">
        <v>3201117.8829999994</v>
      </c>
      <c r="G85" s="3">
        <v>2034</v>
      </c>
      <c r="H85" s="3">
        <v>277</v>
      </c>
      <c r="I85" s="3">
        <v>46.29</v>
      </c>
      <c r="J85" s="3">
        <v>26.32</v>
      </c>
      <c r="K85" s="3">
        <f t="shared" si="9"/>
        <v>2311</v>
      </c>
      <c r="L85" s="5">
        <f t="shared" si="10"/>
        <v>1.7943848138654164</v>
      </c>
      <c r="M85" s="5">
        <f t="shared" si="11"/>
        <v>63.540302929856217</v>
      </c>
      <c r="N85" s="5">
        <f t="shared" si="12"/>
        <v>12.4020887027866</v>
      </c>
      <c r="O85" s="5">
        <f t="shared" si="13"/>
        <v>12.4020887027866</v>
      </c>
      <c r="P85" s="5">
        <f t="shared" si="14"/>
        <v>82.843620721909971</v>
      </c>
      <c r="Q85" s="5">
        <f t="shared" si="15"/>
        <v>17.178947612740135</v>
      </c>
    </row>
    <row r="86" spans="1:17" x14ac:dyDescent="0.2">
      <c r="A86" t="str">
        <f t="shared" si="8"/>
        <v>Florida_2012</v>
      </c>
      <c r="B86" t="s">
        <v>14</v>
      </c>
      <c r="C86">
        <v>2012</v>
      </c>
      <c r="D86" s="3">
        <v>18696017</v>
      </c>
      <c r="E86" s="3">
        <v>15425290.768000001</v>
      </c>
      <c r="F86" s="3">
        <v>3272923.1380000003</v>
      </c>
      <c r="G86" s="3">
        <v>1985</v>
      </c>
      <c r="H86" s="3">
        <v>211</v>
      </c>
      <c r="I86" s="3">
        <v>46.066666666666656</v>
      </c>
      <c r="J86" s="3">
        <v>24.033333333333331</v>
      </c>
      <c r="K86" s="3">
        <f t="shared" si="9"/>
        <v>2196</v>
      </c>
      <c r="L86" s="5">
        <f t="shared" si="10"/>
        <v>1.3678834530479171</v>
      </c>
      <c r="M86" s="5">
        <f t="shared" si="11"/>
        <v>60.649148064411406</v>
      </c>
      <c r="N86" s="5">
        <f t="shared" si="12"/>
        <v>11.745817304295349</v>
      </c>
      <c r="O86" s="5">
        <f t="shared" si="13"/>
        <v>11.745817304295349</v>
      </c>
      <c r="P86" s="5">
        <f t="shared" si="14"/>
        <v>82.505759210638303</v>
      </c>
      <c r="Q86" s="5">
        <f t="shared" si="15"/>
        <v>17.505991452617959</v>
      </c>
    </row>
    <row r="87" spans="1:17" x14ac:dyDescent="0.2">
      <c r="A87" t="str">
        <f t="shared" si="8"/>
        <v>Florida_2013</v>
      </c>
      <c r="B87" t="s">
        <v>14</v>
      </c>
      <c r="C87">
        <v>2013</v>
      </c>
      <c r="D87" s="3">
        <v>18828013</v>
      </c>
      <c r="E87" s="3">
        <v>15493358.502999999</v>
      </c>
      <c r="F87" s="3">
        <v>3332890.9999999991</v>
      </c>
      <c r="G87" s="3">
        <v>2136</v>
      </c>
      <c r="H87" s="3">
        <v>406</v>
      </c>
      <c r="I87" s="3">
        <v>39.554545454545455</v>
      </c>
      <c r="J87" s="3">
        <v>27.238095238095244</v>
      </c>
      <c r="K87" s="3">
        <f t="shared" si="9"/>
        <v>2542</v>
      </c>
      <c r="L87" s="5">
        <f t="shared" si="10"/>
        <v>2.6204776706185795</v>
      </c>
      <c r="M87" s="5">
        <f t="shared" si="11"/>
        <v>64.088504544553075</v>
      </c>
      <c r="N87" s="5">
        <f t="shared" si="12"/>
        <v>13.501159150463728</v>
      </c>
      <c r="O87" s="5">
        <f t="shared" si="13"/>
        <v>13.501159150463728</v>
      </c>
      <c r="P87" s="5">
        <f t="shared" si="14"/>
        <v>82.288866610618967</v>
      </c>
      <c r="Q87" s="5">
        <f t="shared" si="15"/>
        <v>17.701767042544528</v>
      </c>
    </row>
    <row r="88" spans="1:17" x14ac:dyDescent="0.2">
      <c r="A88" t="str">
        <f t="shared" si="8"/>
        <v>Florida_2014</v>
      </c>
      <c r="B88" t="s">
        <v>14</v>
      </c>
      <c r="C88">
        <v>2014</v>
      </c>
      <c r="D88" s="3">
        <v>19202176</v>
      </c>
      <c r="E88" s="3">
        <v>15730869.225999998</v>
      </c>
      <c r="F88" s="3">
        <v>3472161.7359999991</v>
      </c>
      <c r="G88" s="3">
        <v>2143</v>
      </c>
      <c r="H88" s="3">
        <v>451</v>
      </c>
      <c r="I88" s="3">
        <v>45.2</v>
      </c>
      <c r="J88" s="3">
        <v>27.428571428571423</v>
      </c>
      <c r="K88" s="3">
        <f t="shared" si="9"/>
        <v>2594</v>
      </c>
      <c r="L88" s="5">
        <f t="shared" si="10"/>
        <v>2.8669744406404876</v>
      </c>
      <c r="M88" s="5">
        <f t="shared" si="11"/>
        <v>61.719475155232239</v>
      </c>
      <c r="N88" s="5">
        <f t="shared" si="12"/>
        <v>13.508885659625243</v>
      </c>
      <c r="O88" s="5">
        <f t="shared" si="13"/>
        <v>13.508885659625243</v>
      </c>
      <c r="P88" s="5">
        <f t="shared" si="14"/>
        <v>81.922326021800856</v>
      </c>
      <c r="Q88" s="5">
        <f t="shared" si="15"/>
        <v>18.082126400674586</v>
      </c>
    </row>
    <row r="89" spans="1:17" x14ac:dyDescent="0.2">
      <c r="A89" t="str">
        <f t="shared" si="8"/>
        <v>Florida_2015</v>
      </c>
      <c r="B89" t="s">
        <v>14</v>
      </c>
      <c r="C89">
        <v>2015</v>
      </c>
      <c r="D89" s="3">
        <v>19358086</v>
      </c>
      <c r="E89" s="3">
        <v>15746350.167000001</v>
      </c>
      <c r="F89" s="3">
        <v>3614377.5620000008</v>
      </c>
      <c r="G89" s="3">
        <v>2271</v>
      </c>
      <c r="H89" s="3">
        <v>280</v>
      </c>
      <c r="I89" s="3">
        <v>40.436363636363637</v>
      </c>
      <c r="J89" s="3">
        <v>26.136363636363637</v>
      </c>
      <c r="K89" s="3">
        <f t="shared" si="9"/>
        <v>2551</v>
      </c>
      <c r="L89" s="5">
        <f t="shared" si="10"/>
        <v>1.778189847364138</v>
      </c>
      <c r="M89" s="5">
        <f t="shared" si="11"/>
        <v>62.832395372202114</v>
      </c>
      <c r="N89" s="5">
        <f t="shared" si="12"/>
        <v>13.177955713183627</v>
      </c>
      <c r="O89" s="5">
        <f t="shared" si="13"/>
        <v>13.177955713183627</v>
      </c>
      <c r="P89" s="5">
        <f t="shared" si="14"/>
        <v>81.342495156804247</v>
      </c>
      <c r="Q89" s="5">
        <f t="shared" si="15"/>
        <v>18.671151486774061</v>
      </c>
    </row>
    <row r="90" spans="1:17" x14ac:dyDescent="0.2">
      <c r="A90" t="str">
        <f t="shared" si="8"/>
        <v>Florida_2016</v>
      </c>
      <c r="B90" t="s">
        <v>14</v>
      </c>
      <c r="C90">
        <v>2016</v>
      </c>
      <c r="D90" s="3">
        <v>20031616</v>
      </c>
      <c r="E90" s="3">
        <v>16214600.321000002</v>
      </c>
      <c r="F90" s="3">
        <v>3815660.7879999988</v>
      </c>
      <c r="G90" s="3">
        <v>2260</v>
      </c>
      <c r="H90" s="3">
        <v>412</v>
      </c>
      <c r="I90" s="3">
        <v>46.449999999999996</v>
      </c>
      <c r="J90" s="3">
        <v>28.959090909090911</v>
      </c>
      <c r="K90" s="3">
        <f t="shared" si="9"/>
        <v>2672</v>
      </c>
      <c r="L90" s="5">
        <f t="shared" si="10"/>
        <v>2.5409198613820085</v>
      </c>
      <c r="M90" s="5">
        <f t="shared" si="11"/>
        <v>59.229583696421621</v>
      </c>
      <c r="N90" s="5">
        <f t="shared" si="12"/>
        <v>13.338913844993835</v>
      </c>
      <c r="O90" s="5">
        <f t="shared" si="13"/>
        <v>13.338913844993835</v>
      </c>
      <c r="P90" s="5">
        <f t="shared" si="14"/>
        <v>80.945043679950743</v>
      </c>
      <c r="Q90" s="5">
        <f t="shared" si="15"/>
        <v>19.048192557205564</v>
      </c>
    </row>
    <row r="91" spans="1:17" x14ac:dyDescent="0.2">
      <c r="A91" t="str">
        <f t="shared" si="8"/>
        <v>Florida_2017</v>
      </c>
      <c r="B91" t="s">
        <v>14</v>
      </c>
      <c r="C91">
        <v>2017</v>
      </c>
      <c r="D91" s="3">
        <v>20438732</v>
      </c>
      <c r="E91" s="3">
        <v>16486446</v>
      </c>
      <c r="F91" s="3">
        <v>3952286</v>
      </c>
      <c r="G91" s="3">
        <v>2554</v>
      </c>
      <c r="H91" s="3">
        <v>351</v>
      </c>
      <c r="I91" s="3">
        <v>45.08</v>
      </c>
      <c r="J91" s="3">
        <v>23.990476190476191</v>
      </c>
      <c r="K91" s="3">
        <f t="shared" si="9"/>
        <v>2905</v>
      </c>
      <c r="L91" s="5">
        <f t="shared" si="10"/>
        <v>2.1290216217612943</v>
      </c>
      <c r="M91" s="5">
        <f t="shared" si="11"/>
        <v>64.620829565471723</v>
      </c>
      <c r="N91" s="5">
        <f t="shared" si="12"/>
        <v>14.213210486834507</v>
      </c>
      <c r="O91" s="5">
        <f t="shared" si="13"/>
        <v>14.213210486834507</v>
      </c>
      <c r="P91" s="5">
        <f t="shared" si="14"/>
        <v>80.662763228168956</v>
      </c>
      <c r="Q91" s="5">
        <f t="shared" si="15"/>
        <v>19.337236771831051</v>
      </c>
    </row>
    <row r="92" spans="1:17" x14ac:dyDescent="0.2">
      <c r="A92" t="str">
        <f t="shared" si="8"/>
        <v>Georgia_2009</v>
      </c>
      <c r="B92" t="s">
        <v>15</v>
      </c>
      <c r="C92">
        <v>2009</v>
      </c>
      <c r="D92" s="3">
        <v>9713030</v>
      </c>
      <c r="E92" s="3">
        <v>8732051.4690000005</v>
      </c>
      <c r="F92" s="3">
        <v>978932.92400000012</v>
      </c>
      <c r="G92" s="3">
        <v>1161</v>
      </c>
      <c r="H92" s="3">
        <v>157</v>
      </c>
      <c r="I92" s="3">
        <v>44.515384615384619</v>
      </c>
      <c r="J92" s="3">
        <v>30.742307692307698</v>
      </c>
      <c r="K92" s="3">
        <f t="shared" si="9"/>
        <v>1318</v>
      </c>
      <c r="L92" s="5">
        <f t="shared" si="10"/>
        <v>1.7979738273116217</v>
      </c>
      <c r="M92" s="5">
        <f t="shared" si="11"/>
        <v>118.59852412114806</v>
      </c>
      <c r="N92" s="5">
        <f t="shared" si="12"/>
        <v>13.569401103466168</v>
      </c>
      <c r="O92" s="5">
        <f t="shared" si="13"/>
        <v>13.569401103466168</v>
      </c>
      <c r="P92" s="5">
        <f t="shared" si="14"/>
        <v>89.900386069022758</v>
      </c>
      <c r="Q92" s="5">
        <f t="shared" si="15"/>
        <v>10.078553489487833</v>
      </c>
    </row>
    <row r="93" spans="1:17" x14ac:dyDescent="0.2">
      <c r="A93" t="str">
        <f t="shared" si="8"/>
        <v>Georgia_2010</v>
      </c>
      <c r="B93" t="s">
        <v>15</v>
      </c>
      <c r="C93">
        <v>2010</v>
      </c>
      <c r="D93" s="3">
        <v>9598767</v>
      </c>
      <c r="E93" s="3">
        <v>8606857.7809999995</v>
      </c>
      <c r="F93" s="3">
        <v>991429.71199999948</v>
      </c>
      <c r="G93" s="3">
        <v>1172</v>
      </c>
      <c r="H93" s="3">
        <v>113</v>
      </c>
      <c r="I93" s="3">
        <v>50.300000000000004</v>
      </c>
      <c r="J93" s="3">
        <v>32.426315789473676</v>
      </c>
      <c r="K93" s="3">
        <f t="shared" si="9"/>
        <v>1285</v>
      </c>
      <c r="L93" s="5">
        <f t="shared" si="10"/>
        <v>1.3129065551594479</v>
      </c>
      <c r="M93" s="5">
        <f t="shared" si="11"/>
        <v>118.21312048796058</v>
      </c>
      <c r="N93" s="5">
        <f t="shared" si="12"/>
        <v>13.387136076956551</v>
      </c>
      <c r="O93" s="5">
        <f t="shared" si="13"/>
        <v>13.387136076956551</v>
      </c>
      <c r="P93" s="5">
        <f t="shared" si="14"/>
        <v>89.666285065571444</v>
      </c>
      <c r="Q93" s="5">
        <f t="shared" si="15"/>
        <v>10.328719428234892</v>
      </c>
    </row>
    <row r="94" spans="1:17" x14ac:dyDescent="0.2">
      <c r="A94" t="str">
        <f t="shared" si="8"/>
        <v>Georgia_2011</v>
      </c>
      <c r="B94" t="s">
        <v>15</v>
      </c>
      <c r="C94">
        <v>2011</v>
      </c>
      <c r="D94" s="3">
        <v>9627433</v>
      </c>
      <c r="E94" s="3">
        <v>8615291.6439999975</v>
      </c>
      <c r="F94" s="3">
        <v>1013114.6460000004</v>
      </c>
      <c r="G94" s="3">
        <v>1173</v>
      </c>
      <c r="H94" s="3">
        <v>142</v>
      </c>
      <c r="I94" s="3">
        <v>49.760000000000005</v>
      </c>
      <c r="J94" s="3">
        <v>28.425000000000001</v>
      </c>
      <c r="K94" s="3">
        <f t="shared" si="9"/>
        <v>1315</v>
      </c>
      <c r="L94" s="5">
        <f t="shared" si="10"/>
        <v>1.6482320723163673</v>
      </c>
      <c r="M94" s="5">
        <f t="shared" si="11"/>
        <v>115.78156575183887</v>
      </c>
      <c r="N94" s="5">
        <f t="shared" si="12"/>
        <v>13.658884980035698</v>
      </c>
      <c r="O94" s="5">
        <f t="shared" si="13"/>
        <v>13.658884980035698</v>
      </c>
      <c r="P94" s="5">
        <f t="shared" si="14"/>
        <v>89.48690314437917</v>
      </c>
      <c r="Q94" s="5">
        <f t="shared" si="15"/>
        <v>10.523206404033147</v>
      </c>
    </row>
    <row r="95" spans="1:17" x14ac:dyDescent="0.2">
      <c r="A95" t="str">
        <f t="shared" si="8"/>
        <v>Georgia_2012</v>
      </c>
      <c r="B95" t="s">
        <v>15</v>
      </c>
      <c r="C95">
        <v>2012</v>
      </c>
      <c r="D95" s="3">
        <v>9955103</v>
      </c>
      <c r="E95" s="3">
        <v>8874150.352</v>
      </c>
      <c r="F95" s="3">
        <v>1086332.8999999999</v>
      </c>
      <c r="G95" s="3">
        <v>1108</v>
      </c>
      <c r="H95" s="3">
        <v>122</v>
      </c>
      <c r="I95" s="3">
        <v>46.35</v>
      </c>
      <c r="J95" s="3">
        <v>31.484999999999996</v>
      </c>
      <c r="K95" s="3">
        <f t="shared" si="9"/>
        <v>1230</v>
      </c>
      <c r="L95" s="5">
        <f t="shared" si="10"/>
        <v>1.3747795018201874</v>
      </c>
      <c r="M95" s="5">
        <f t="shared" si="11"/>
        <v>101.99451751852496</v>
      </c>
      <c r="N95" s="5">
        <f t="shared" si="12"/>
        <v>12.355472364273881</v>
      </c>
      <c r="O95" s="5">
        <f t="shared" si="13"/>
        <v>12.355472364273881</v>
      </c>
      <c r="P95" s="5">
        <f t="shared" si="14"/>
        <v>89.141723114266128</v>
      </c>
      <c r="Q95" s="5">
        <f t="shared" si="15"/>
        <v>10.912322052318292</v>
      </c>
    </row>
    <row r="96" spans="1:17" x14ac:dyDescent="0.2">
      <c r="A96" t="str">
        <f t="shared" si="8"/>
        <v>Georgia_2013</v>
      </c>
      <c r="B96" t="s">
        <v>15</v>
      </c>
      <c r="C96">
        <v>2013</v>
      </c>
      <c r="D96" s="3">
        <v>10022337</v>
      </c>
      <c r="E96" s="3">
        <v>8891569.8039999958</v>
      </c>
      <c r="F96" s="3">
        <v>1130962.6169999996</v>
      </c>
      <c r="G96" s="3">
        <v>1151</v>
      </c>
      <c r="H96" s="3">
        <v>172</v>
      </c>
      <c r="I96" s="3">
        <v>44.45</v>
      </c>
      <c r="J96" s="3">
        <v>30.009523809523813</v>
      </c>
      <c r="K96" s="3">
        <f t="shared" si="9"/>
        <v>1323</v>
      </c>
      <c r="L96" s="5">
        <f t="shared" si="10"/>
        <v>1.9344165742546768</v>
      </c>
      <c r="M96" s="5">
        <f t="shared" si="11"/>
        <v>101.77171046140781</v>
      </c>
      <c r="N96" s="5">
        <f t="shared" si="12"/>
        <v>13.200514011851727</v>
      </c>
      <c r="O96" s="5">
        <f t="shared" si="13"/>
        <v>13.200514011851727</v>
      </c>
      <c r="P96" s="5">
        <f t="shared" si="14"/>
        <v>88.717529693922643</v>
      </c>
      <c r="Q96" s="5">
        <f t="shared" si="15"/>
        <v>11.28442016068707</v>
      </c>
    </row>
    <row r="97" spans="1:17" x14ac:dyDescent="0.2">
      <c r="A97" t="str">
        <f t="shared" si="8"/>
        <v>Georgia_2014</v>
      </c>
      <c r="B97" t="s">
        <v>15</v>
      </c>
      <c r="C97">
        <v>2014</v>
      </c>
      <c r="D97" s="3">
        <v>9817046</v>
      </c>
      <c r="E97" s="3">
        <v>8689558.1789999995</v>
      </c>
      <c r="F97" s="3">
        <v>1124322.5440000002</v>
      </c>
      <c r="G97" s="3">
        <v>1133</v>
      </c>
      <c r="H97" s="3">
        <v>248</v>
      </c>
      <c r="I97" s="3">
        <v>47.04</v>
      </c>
      <c r="J97" s="3">
        <v>32.604761904761901</v>
      </c>
      <c r="K97" s="3">
        <f t="shared" si="9"/>
        <v>1381</v>
      </c>
      <c r="L97" s="5">
        <f t="shared" si="10"/>
        <v>2.8540001101476027</v>
      </c>
      <c r="M97" s="5">
        <f t="shared" si="11"/>
        <v>100.77179418364484</v>
      </c>
      <c r="N97" s="5">
        <f t="shared" si="12"/>
        <v>14.067368126827562</v>
      </c>
      <c r="O97" s="5">
        <f t="shared" si="13"/>
        <v>14.067368126827562</v>
      </c>
      <c r="P97" s="5">
        <f t="shared" si="14"/>
        <v>88.514999104618624</v>
      </c>
      <c r="Q97" s="5">
        <f t="shared" si="15"/>
        <v>11.452758232975583</v>
      </c>
    </row>
    <row r="98" spans="1:17" x14ac:dyDescent="0.2">
      <c r="A98" t="str">
        <f t="shared" si="8"/>
        <v>Georgia_2015</v>
      </c>
      <c r="B98" t="s">
        <v>15</v>
      </c>
      <c r="C98">
        <v>2015</v>
      </c>
      <c r="D98" s="3">
        <v>10307372</v>
      </c>
      <c r="E98" s="3">
        <v>9061615.2260000054</v>
      </c>
      <c r="F98" s="3">
        <v>1246852.7209999987</v>
      </c>
      <c r="G98" s="3">
        <v>1159</v>
      </c>
      <c r="H98" s="3">
        <v>173</v>
      </c>
      <c r="I98" s="3">
        <v>44.4</v>
      </c>
      <c r="J98" s="3">
        <v>30.733333333333338</v>
      </c>
      <c r="K98" s="3">
        <f t="shared" si="9"/>
        <v>1332</v>
      </c>
      <c r="L98" s="5">
        <f t="shared" si="10"/>
        <v>1.909151908189838</v>
      </c>
      <c r="M98" s="5">
        <f t="shared" si="11"/>
        <v>92.954041843086387</v>
      </c>
      <c r="N98" s="5">
        <f t="shared" si="12"/>
        <v>12.922789630567324</v>
      </c>
      <c r="O98" s="5">
        <f t="shared" si="13"/>
        <v>12.922789630567324</v>
      </c>
      <c r="P98" s="5">
        <f t="shared" si="14"/>
        <v>87.913924383441341</v>
      </c>
      <c r="Q98" s="5">
        <f t="shared" si="15"/>
        <v>12.096708268606186</v>
      </c>
    </row>
    <row r="99" spans="1:17" x14ac:dyDescent="0.2">
      <c r="A99" t="str">
        <f t="shared" si="8"/>
        <v>Georgia_2016</v>
      </c>
      <c r="B99" t="s">
        <v>15</v>
      </c>
      <c r="C99">
        <v>2016</v>
      </c>
      <c r="D99" s="3">
        <v>10082058</v>
      </c>
      <c r="E99" s="3">
        <v>8834976.1610000022</v>
      </c>
      <c r="F99" s="3">
        <v>1245018.1380000005</v>
      </c>
      <c r="G99" s="3">
        <v>1068</v>
      </c>
      <c r="H99" s="3">
        <v>202</v>
      </c>
      <c r="I99" s="3">
        <v>53.988888888888894</v>
      </c>
      <c r="J99" s="3">
        <v>31.595238095238091</v>
      </c>
      <c r="K99" s="3">
        <f t="shared" si="9"/>
        <v>1270</v>
      </c>
      <c r="L99" s="5">
        <f t="shared" si="10"/>
        <v>2.2863672331305565</v>
      </c>
      <c r="M99" s="5">
        <f t="shared" si="11"/>
        <v>85.781882801774856</v>
      </c>
      <c r="N99" s="5">
        <f t="shared" si="12"/>
        <v>12.596634536321849</v>
      </c>
      <c r="O99" s="5">
        <f t="shared" si="13"/>
        <v>12.596634536321849</v>
      </c>
      <c r="P99" s="5">
        <f t="shared" si="14"/>
        <v>87.630681761600684</v>
      </c>
      <c r="Q99" s="5">
        <f t="shared" si="15"/>
        <v>12.348849193289709</v>
      </c>
    </row>
    <row r="100" spans="1:17" x14ac:dyDescent="0.2">
      <c r="A100" t="str">
        <f t="shared" si="8"/>
        <v>Georgia_2017</v>
      </c>
      <c r="B100" t="s">
        <v>15</v>
      </c>
      <c r="C100">
        <v>2017</v>
      </c>
      <c r="D100" s="3">
        <v>10346352</v>
      </c>
      <c r="E100" s="3">
        <v>9013003</v>
      </c>
      <c r="F100" s="3">
        <v>1333349</v>
      </c>
      <c r="G100" s="3">
        <v>1117</v>
      </c>
      <c r="H100" s="3">
        <v>169</v>
      </c>
      <c r="I100" s="3">
        <v>43.019999999999996</v>
      </c>
      <c r="J100" s="3">
        <v>28.44285714285714</v>
      </c>
      <c r="K100" s="3">
        <f t="shared" si="9"/>
        <v>1286</v>
      </c>
      <c r="L100" s="5">
        <f t="shared" si="10"/>
        <v>1.8750687201590857</v>
      </c>
      <c r="M100" s="5">
        <f t="shared" si="11"/>
        <v>83.774015655316049</v>
      </c>
      <c r="N100" s="5">
        <f t="shared" si="12"/>
        <v>12.429501721959586</v>
      </c>
      <c r="O100" s="5">
        <f t="shared" si="13"/>
        <v>12.429501721959586</v>
      </c>
      <c r="P100" s="5">
        <f t="shared" si="14"/>
        <v>87.112858715806311</v>
      </c>
      <c r="Q100" s="5">
        <f t="shared" si="15"/>
        <v>12.887141284193696</v>
      </c>
    </row>
    <row r="101" spans="1:17" x14ac:dyDescent="0.2">
      <c r="A101" t="str">
        <f t="shared" si="8"/>
        <v>Hawaii_2009</v>
      </c>
      <c r="B101" t="s">
        <v>16</v>
      </c>
      <c r="C101">
        <v>2009</v>
      </c>
      <c r="D101" s="3">
        <v>1280241</v>
      </c>
      <c r="E101" s="3">
        <v>1101746.827</v>
      </c>
      <c r="F101" s="3">
        <v>180646.56999999998</v>
      </c>
      <c r="G101" s="3">
        <v>105</v>
      </c>
      <c r="H101" s="3">
        <v>0</v>
      </c>
      <c r="I101" s="3">
        <v>48.178571428571431</v>
      </c>
      <c r="J101" s="3">
        <v>49.921428571428571</v>
      </c>
      <c r="K101" s="3">
        <f t="shared" si="9"/>
        <v>105</v>
      </c>
      <c r="L101" s="5">
        <f t="shared" si="10"/>
        <v>0</v>
      </c>
      <c r="M101" s="5">
        <f t="shared" si="11"/>
        <v>58.124546732329335</v>
      </c>
      <c r="N101" s="5">
        <f t="shared" si="12"/>
        <v>8.2015807961157314</v>
      </c>
      <c r="O101" s="5">
        <f t="shared" si="13"/>
        <v>8.2015807961157314</v>
      </c>
      <c r="P101" s="5">
        <f t="shared" si="14"/>
        <v>86.057767795282302</v>
      </c>
      <c r="Q101" s="5">
        <f t="shared" si="15"/>
        <v>14.110356565677867</v>
      </c>
    </row>
    <row r="102" spans="1:17" x14ac:dyDescent="0.2">
      <c r="A102" t="str">
        <f t="shared" si="8"/>
        <v>Hawaii_2010</v>
      </c>
      <c r="B102" t="s">
        <v>16</v>
      </c>
      <c r="C102">
        <v>2010</v>
      </c>
      <c r="D102" s="3">
        <v>1333591</v>
      </c>
      <c r="E102" s="3">
        <v>1147748.098</v>
      </c>
      <c r="F102" s="3">
        <v>185908.43600000002</v>
      </c>
      <c r="G102" s="3">
        <v>141</v>
      </c>
      <c r="H102" s="3">
        <v>0</v>
      </c>
      <c r="I102" s="3">
        <v>50.1</v>
      </c>
      <c r="J102" s="3">
        <v>39.384999999999998</v>
      </c>
      <c r="K102" s="3">
        <f t="shared" si="9"/>
        <v>141</v>
      </c>
      <c r="L102" s="5">
        <f t="shared" si="10"/>
        <v>0</v>
      </c>
      <c r="M102" s="5">
        <f t="shared" si="11"/>
        <v>75.843787960219288</v>
      </c>
      <c r="N102" s="5">
        <f t="shared" si="12"/>
        <v>10.572956776103018</v>
      </c>
      <c r="O102" s="5">
        <f t="shared" si="13"/>
        <v>10.572956776103018</v>
      </c>
      <c r="P102" s="5">
        <f t="shared" si="14"/>
        <v>86.064475390130852</v>
      </c>
      <c r="Q102" s="5">
        <f t="shared" si="15"/>
        <v>13.940438710219253</v>
      </c>
    </row>
    <row r="103" spans="1:17" x14ac:dyDescent="0.2">
      <c r="A103" t="str">
        <f t="shared" si="8"/>
        <v>Hawaii_2011</v>
      </c>
      <c r="B103" t="s">
        <v>16</v>
      </c>
      <c r="C103">
        <v>2011</v>
      </c>
      <c r="D103" s="3">
        <v>1346554</v>
      </c>
      <c r="E103" s="3">
        <v>1156737.6889999998</v>
      </c>
      <c r="F103" s="3">
        <v>191821.68999999997</v>
      </c>
      <c r="G103" s="3">
        <v>193</v>
      </c>
      <c r="H103" s="3">
        <v>0</v>
      </c>
      <c r="I103" s="3">
        <v>50.82</v>
      </c>
      <c r="J103" s="3">
        <v>37.795000000000002</v>
      </c>
      <c r="K103" s="3">
        <f t="shared" si="9"/>
        <v>193</v>
      </c>
      <c r="L103" s="5">
        <f t="shared" si="10"/>
        <v>0</v>
      </c>
      <c r="M103" s="5">
        <f t="shared" si="11"/>
        <v>100.61427359961223</v>
      </c>
      <c r="N103" s="5">
        <f t="shared" si="12"/>
        <v>14.332882305499817</v>
      </c>
      <c r="O103" s="5">
        <f t="shared" si="13"/>
        <v>14.332882305499817</v>
      </c>
      <c r="P103" s="5">
        <f t="shared" si="14"/>
        <v>85.903550024729782</v>
      </c>
      <c r="Q103" s="5">
        <f t="shared" si="15"/>
        <v>14.245376717160987</v>
      </c>
    </row>
    <row r="104" spans="1:17" x14ac:dyDescent="0.2">
      <c r="A104" t="str">
        <f t="shared" si="8"/>
        <v>Hawaii_2012</v>
      </c>
      <c r="B104" t="s">
        <v>16</v>
      </c>
      <c r="C104">
        <v>2012</v>
      </c>
      <c r="D104" s="3">
        <v>1362730</v>
      </c>
      <c r="E104" s="3">
        <v>1164954.3370000001</v>
      </c>
      <c r="F104" s="3">
        <v>197109.54499999998</v>
      </c>
      <c r="G104" s="3">
        <v>270</v>
      </c>
      <c r="H104" s="3">
        <v>0</v>
      </c>
      <c r="I104" s="3">
        <v>54.39</v>
      </c>
      <c r="J104" s="3">
        <v>36.540909090909103</v>
      </c>
      <c r="K104" s="3">
        <f t="shared" si="9"/>
        <v>270</v>
      </c>
      <c r="L104" s="5">
        <f t="shared" si="10"/>
        <v>0</v>
      </c>
      <c r="M104" s="5">
        <f t="shared" si="11"/>
        <v>136.9796678288715</v>
      </c>
      <c r="N104" s="5">
        <f t="shared" si="12"/>
        <v>19.813169153097093</v>
      </c>
      <c r="O104" s="5">
        <f t="shared" si="13"/>
        <v>19.813169153097093</v>
      </c>
      <c r="P104" s="5">
        <f t="shared" si="14"/>
        <v>85.486804943018797</v>
      </c>
      <c r="Q104" s="5">
        <f t="shared" si="15"/>
        <v>14.464313913981492</v>
      </c>
    </row>
    <row r="105" spans="1:17" x14ac:dyDescent="0.2">
      <c r="A105" t="str">
        <f t="shared" si="8"/>
        <v>Hawaii_2013</v>
      </c>
      <c r="B105" t="s">
        <v>16</v>
      </c>
      <c r="C105">
        <v>2013</v>
      </c>
      <c r="D105" s="3">
        <v>1376298</v>
      </c>
      <c r="E105" s="3">
        <v>1169849.7549999999</v>
      </c>
      <c r="F105" s="3">
        <v>202208.25299999997</v>
      </c>
      <c r="G105" s="3">
        <v>319</v>
      </c>
      <c r="H105" s="3">
        <v>0</v>
      </c>
      <c r="I105" s="3">
        <v>54.039999999999985</v>
      </c>
      <c r="J105" s="3">
        <v>38.790909090909089</v>
      </c>
      <c r="K105" s="3">
        <f t="shared" si="9"/>
        <v>319</v>
      </c>
      <c r="L105" s="5">
        <f t="shared" si="10"/>
        <v>0</v>
      </c>
      <c r="M105" s="5">
        <f t="shared" si="11"/>
        <v>157.75815045491743</v>
      </c>
      <c r="N105" s="5">
        <f t="shared" si="12"/>
        <v>23.178119854857016</v>
      </c>
      <c r="O105" s="5">
        <f t="shared" si="13"/>
        <v>23.178119854857016</v>
      </c>
      <c r="P105" s="5">
        <f t="shared" si="14"/>
        <v>84.999742424969</v>
      </c>
      <c r="Q105" s="5">
        <f t="shared" si="15"/>
        <v>14.692185340674765</v>
      </c>
    </row>
    <row r="106" spans="1:17" x14ac:dyDescent="0.2">
      <c r="A106" t="str">
        <f t="shared" si="8"/>
        <v>Hawaii_2014</v>
      </c>
      <c r="B106" t="s">
        <v>16</v>
      </c>
      <c r="C106">
        <v>2014</v>
      </c>
      <c r="D106" s="3">
        <v>1391072</v>
      </c>
      <c r="E106" s="3">
        <v>1178545.9849999999</v>
      </c>
      <c r="F106" s="3">
        <v>212874.065</v>
      </c>
      <c r="G106" s="3">
        <v>286</v>
      </c>
      <c r="H106" s="3">
        <v>0</v>
      </c>
      <c r="I106" s="3">
        <v>51.73</v>
      </c>
      <c r="J106" s="3">
        <v>37.527272727272731</v>
      </c>
      <c r="K106" s="3">
        <f t="shared" si="9"/>
        <v>286</v>
      </c>
      <c r="L106" s="5">
        <f t="shared" si="10"/>
        <v>0</v>
      </c>
      <c r="M106" s="5">
        <f t="shared" si="11"/>
        <v>134.35173514443858</v>
      </c>
      <c r="N106" s="5">
        <f t="shared" si="12"/>
        <v>20.55968346713901</v>
      </c>
      <c r="O106" s="5">
        <f t="shared" si="13"/>
        <v>20.55968346713901</v>
      </c>
      <c r="P106" s="5">
        <f t="shared" si="14"/>
        <v>84.722141269466988</v>
      </c>
      <c r="Q106" s="5">
        <f t="shared" si="15"/>
        <v>15.302879002668446</v>
      </c>
    </row>
    <row r="107" spans="1:17" x14ac:dyDescent="0.2">
      <c r="A107" t="str">
        <f t="shared" si="8"/>
        <v>Hawaii_2015</v>
      </c>
      <c r="B107" t="s">
        <v>16</v>
      </c>
      <c r="C107">
        <v>2015</v>
      </c>
      <c r="D107" s="3">
        <v>1406214</v>
      </c>
      <c r="E107" s="3">
        <v>1185327.6229999999</v>
      </c>
      <c r="F107" s="3">
        <v>219910.65199999997</v>
      </c>
      <c r="G107" s="3">
        <v>405</v>
      </c>
      <c r="H107" s="3">
        <v>0</v>
      </c>
      <c r="I107" s="3">
        <v>47.75</v>
      </c>
      <c r="J107" s="3">
        <v>38.590476190476195</v>
      </c>
      <c r="K107" s="3">
        <f t="shared" si="9"/>
        <v>405</v>
      </c>
      <c r="L107" s="5">
        <f t="shared" si="10"/>
        <v>0</v>
      </c>
      <c r="M107" s="5">
        <f t="shared" si="11"/>
        <v>184.16570380592572</v>
      </c>
      <c r="N107" s="5">
        <f t="shared" si="12"/>
        <v>28.80073729887485</v>
      </c>
      <c r="O107" s="5">
        <f t="shared" si="13"/>
        <v>28.80073729887485</v>
      </c>
      <c r="P107" s="5">
        <f t="shared" si="14"/>
        <v>84.292122180550038</v>
      </c>
      <c r="Q107" s="5">
        <f t="shared" si="15"/>
        <v>15.638491154262436</v>
      </c>
    </row>
    <row r="108" spans="1:17" x14ac:dyDescent="0.2">
      <c r="A108" t="str">
        <f t="shared" si="8"/>
        <v>Hawaii_2016</v>
      </c>
      <c r="B108" t="s">
        <v>16</v>
      </c>
      <c r="C108">
        <v>2016</v>
      </c>
      <c r="D108" s="3">
        <v>1413673</v>
      </c>
      <c r="E108" s="3">
        <v>1185619.6740000001</v>
      </c>
      <c r="F108" s="3">
        <v>228155.08800000002</v>
      </c>
      <c r="G108" s="3">
        <v>348</v>
      </c>
      <c r="H108" s="3">
        <v>0</v>
      </c>
      <c r="I108" s="3">
        <v>41.499999999999993</v>
      </c>
      <c r="J108" s="3">
        <v>33.18181818181818</v>
      </c>
      <c r="K108" s="3">
        <f t="shared" si="9"/>
        <v>348</v>
      </c>
      <c r="L108" s="5">
        <f t="shared" si="10"/>
        <v>0</v>
      </c>
      <c r="M108" s="5">
        <f t="shared" si="11"/>
        <v>152.52782791326572</v>
      </c>
      <c r="N108" s="5">
        <f t="shared" si="12"/>
        <v>24.616725367181804</v>
      </c>
      <c r="O108" s="5">
        <f t="shared" si="13"/>
        <v>24.616725367181804</v>
      </c>
      <c r="P108" s="5">
        <f t="shared" si="14"/>
        <v>83.868028462027638</v>
      </c>
      <c r="Q108" s="5">
        <f t="shared" si="15"/>
        <v>16.139169949486199</v>
      </c>
    </row>
    <row r="109" spans="1:17" x14ac:dyDescent="0.2">
      <c r="A109" t="str">
        <f t="shared" si="8"/>
        <v>Hawaii_2017</v>
      </c>
      <c r="B109" t="s">
        <v>16</v>
      </c>
      <c r="C109">
        <v>2017</v>
      </c>
      <c r="D109" s="3">
        <v>1421732</v>
      </c>
      <c r="E109" s="3">
        <v>1183588</v>
      </c>
      <c r="F109" s="3">
        <v>238144</v>
      </c>
      <c r="G109" s="3">
        <v>458</v>
      </c>
      <c r="H109" s="3">
        <v>0</v>
      </c>
      <c r="I109" s="3">
        <v>36.590909090909086</v>
      </c>
      <c r="J109" s="3">
        <v>30.977272727272723</v>
      </c>
      <c r="K109" s="3">
        <f t="shared" si="9"/>
        <v>458</v>
      </c>
      <c r="L109" s="5">
        <f t="shared" si="10"/>
        <v>0</v>
      </c>
      <c r="M109" s="5">
        <f t="shared" si="11"/>
        <v>192.32061273851116</v>
      </c>
      <c r="N109" s="5">
        <f t="shared" si="12"/>
        <v>32.214228842003976</v>
      </c>
      <c r="O109" s="5">
        <f t="shared" si="13"/>
        <v>32.214228842003976</v>
      </c>
      <c r="P109" s="5">
        <f t="shared" si="14"/>
        <v>83.249726390065064</v>
      </c>
      <c r="Q109" s="5">
        <f t="shared" si="15"/>
        <v>16.750273609934922</v>
      </c>
    </row>
    <row r="110" spans="1:17" x14ac:dyDescent="0.2">
      <c r="A110" t="str">
        <f t="shared" si="8"/>
        <v>Idaho_2009</v>
      </c>
      <c r="B110" t="s">
        <v>17</v>
      </c>
      <c r="C110">
        <v>2009</v>
      </c>
      <c r="D110" s="3">
        <v>1498101</v>
      </c>
      <c r="E110" s="3">
        <v>1321942.4509999999</v>
      </c>
      <c r="F110" s="3">
        <v>176540.34400000004</v>
      </c>
      <c r="G110" s="3">
        <v>10</v>
      </c>
      <c r="H110" s="3">
        <v>0</v>
      </c>
      <c r="I110" s="3">
        <v>42.934615384615377</v>
      </c>
      <c r="J110" s="3">
        <v>32.61538461538462</v>
      </c>
      <c r="K110" s="3">
        <f t="shared" si="9"/>
        <v>10</v>
      </c>
      <c r="L110" s="5">
        <f t="shared" si="10"/>
        <v>0</v>
      </c>
      <c r="M110" s="5">
        <f t="shared" si="11"/>
        <v>5.6644276166132306</v>
      </c>
      <c r="N110" s="5">
        <f t="shared" si="12"/>
        <v>0.66751173652510742</v>
      </c>
      <c r="O110" s="5">
        <f t="shared" si="13"/>
        <v>0.66751173652510742</v>
      </c>
      <c r="P110" s="5">
        <f t="shared" si="14"/>
        <v>88.241210105326672</v>
      </c>
      <c r="Q110" s="5">
        <f t="shared" si="15"/>
        <v>11.784275159017986</v>
      </c>
    </row>
    <row r="111" spans="1:17" x14ac:dyDescent="0.2">
      <c r="A111" t="str">
        <f t="shared" si="8"/>
        <v>Idaho_2010</v>
      </c>
      <c r="B111" t="s">
        <v>17</v>
      </c>
      <c r="C111">
        <v>2010</v>
      </c>
      <c r="D111" s="3">
        <v>1535086</v>
      </c>
      <c r="E111" s="3">
        <v>1351372.2659999996</v>
      </c>
      <c r="F111" s="3">
        <v>183158.27099999995</v>
      </c>
      <c r="G111" s="3">
        <v>78</v>
      </c>
      <c r="H111" s="3">
        <v>0</v>
      </c>
      <c r="I111" s="3">
        <v>49.988888888888887</v>
      </c>
      <c r="J111" s="3">
        <v>28.847368421052625</v>
      </c>
      <c r="K111" s="3">
        <f t="shared" si="9"/>
        <v>78</v>
      </c>
      <c r="L111" s="5">
        <f t="shared" si="10"/>
        <v>0</v>
      </c>
      <c r="M111" s="5">
        <f t="shared" si="11"/>
        <v>42.586119411446084</v>
      </c>
      <c r="N111" s="5">
        <f t="shared" si="12"/>
        <v>5.0811485480292315</v>
      </c>
      <c r="O111" s="5">
        <f t="shared" si="13"/>
        <v>5.0811485480292315</v>
      </c>
      <c r="P111" s="5">
        <f t="shared" si="14"/>
        <v>88.032349067088063</v>
      </c>
      <c r="Q111" s="5">
        <f t="shared" si="15"/>
        <v>11.93146644552813</v>
      </c>
    </row>
    <row r="112" spans="1:17" x14ac:dyDescent="0.2">
      <c r="A112" t="str">
        <f t="shared" si="8"/>
        <v>Idaho_2011</v>
      </c>
      <c r="B112" t="s">
        <v>17</v>
      </c>
      <c r="C112">
        <v>2011</v>
      </c>
      <c r="D112" s="3">
        <v>1587086</v>
      </c>
      <c r="E112" s="3">
        <v>1388942.5219999999</v>
      </c>
      <c r="F112" s="3">
        <v>198061.46900000004</v>
      </c>
      <c r="G112" s="3">
        <v>61</v>
      </c>
      <c r="H112" s="3">
        <v>0</v>
      </c>
      <c r="I112" s="3">
        <v>49.222222222222214</v>
      </c>
      <c r="J112" s="3">
        <v>26.357894736842105</v>
      </c>
      <c r="K112" s="3">
        <f t="shared" si="9"/>
        <v>61</v>
      </c>
      <c r="L112" s="5">
        <f t="shared" si="10"/>
        <v>0</v>
      </c>
      <c r="M112" s="5">
        <f t="shared" si="11"/>
        <v>30.798519423280652</v>
      </c>
      <c r="N112" s="5">
        <f t="shared" si="12"/>
        <v>3.843522027161729</v>
      </c>
      <c r="O112" s="5">
        <f t="shared" si="13"/>
        <v>3.843522027161729</v>
      </c>
      <c r="P112" s="5">
        <f t="shared" si="14"/>
        <v>87.515265209320731</v>
      </c>
      <c r="Q112" s="5">
        <f t="shared" si="15"/>
        <v>12.479567521860822</v>
      </c>
    </row>
    <row r="113" spans="1:17" x14ac:dyDescent="0.2">
      <c r="A113" t="str">
        <f t="shared" si="8"/>
        <v>Idaho_2012</v>
      </c>
      <c r="B113" t="s">
        <v>17</v>
      </c>
      <c r="C113">
        <v>2012</v>
      </c>
      <c r="D113" s="3">
        <v>1570747</v>
      </c>
      <c r="E113" s="3">
        <v>1374057.9979999999</v>
      </c>
      <c r="F113" s="3">
        <v>197875.386</v>
      </c>
      <c r="G113" s="3">
        <v>46</v>
      </c>
      <c r="H113" s="3">
        <v>0</v>
      </c>
      <c r="I113" s="3">
        <v>50.266666666666659</v>
      </c>
      <c r="J113" s="3">
        <v>28.405263157894741</v>
      </c>
      <c r="K113" s="3">
        <f t="shared" si="9"/>
        <v>46</v>
      </c>
      <c r="L113" s="5">
        <f t="shared" si="10"/>
        <v>0</v>
      </c>
      <c r="M113" s="5">
        <f t="shared" si="11"/>
        <v>23.246954019839535</v>
      </c>
      <c r="N113" s="5">
        <f t="shared" si="12"/>
        <v>2.9285429162048375</v>
      </c>
      <c r="O113" s="5">
        <f t="shared" si="13"/>
        <v>2.9285429162048375</v>
      </c>
      <c r="P113" s="5">
        <f t="shared" si="14"/>
        <v>87.477996010815232</v>
      </c>
      <c r="Q113" s="5">
        <f t="shared" si="15"/>
        <v>12.59753391220865</v>
      </c>
    </row>
    <row r="114" spans="1:17" x14ac:dyDescent="0.2">
      <c r="A114" t="str">
        <f t="shared" si="8"/>
        <v>Idaho_2013</v>
      </c>
      <c r="B114" t="s">
        <v>17</v>
      </c>
      <c r="C114">
        <v>2013</v>
      </c>
      <c r="D114" s="3">
        <v>1704449</v>
      </c>
      <c r="E114" s="3">
        <v>1482130.4450000008</v>
      </c>
      <c r="F114" s="3">
        <v>222677.00099999996</v>
      </c>
      <c r="G114" s="3">
        <v>106</v>
      </c>
      <c r="H114" s="3">
        <v>0</v>
      </c>
      <c r="I114" s="3">
        <v>48.077777777777776</v>
      </c>
      <c r="J114" s="3">
        <v>27.8</v>
      </c>
      <c r="K114" s="3">
        <f t="shared" si="9"/>
        <v>106</v>
      </c>
      <c r="L114" s="5">
        <f t="shared" si="10"/>
        <v>0</v>
      </c>
      <c r="M114" s="5">
        <f t="shared" si="11"/>
        <v>47.602581103559956</v>
      </c>
      <c r="N114" s="5">
        <f t="shared" si="12"/>
        <v>6.2190185801980586</v>
      </c>
      <c r="O114" s="5">
        <f t="shared" si="13"/>
        <v>6.2190185801980586</v>
      </c>
      <c r="P114" s="5">
        <f t="shared" si="14"/>
        <v>86.956573355964352</v>
      </c>
      <c r="Q114" s="5">
        <f t="shared" si="15"/>
        <v>13.064456666054541</v>
      </c>
    </row>
    <row r="115" spans="1:17" x14ac:dyDescent="0.2">
      <c r="A115" t="str">
        <f t="shared" si="8"/>
        <v>Idaho_2014</v>
      </c>
      <c r="B115" t="s">
        <v>17</v>
      </c>
      <c r="C115">
        <v>2014</v>
      </c>
      <c r="D115" s="3">
        <v>1650525</v>
      </c>
      <c r="E115" s="3">
        <v>1426697.2789999999</v>
      </c>
      <c r="F115" s="3">
        <v>223233.91499999998</v>
      </c>
      <c r="G115" s="3">
        <v>56</v>
      </c>
      <c r="H115" s="3">
        <v>0</v>
      </c>
      <c r="I115" s="3">
        <v>52.63333333333334</v>
      </c>
      <c r="J115" s="3">
        <v>31.795000000000005</v>
      </c>
      <c r="K115" s="3">
        <f t="shared" si="9"/>
        <v>56</v>
      </c>
      <c r="L115" s="5">
        <f t="shared" si="10"/>
        <v>0</v>
      </c>
      <c r="M115" s="5">
        <f t="shared" si="11"/>
        <v>25.085793975346444</v>
      </c>
      <c r="N115" s="5">
        <f t="shared" si="12"/>
        <v>3.3928598476242406</v>
      </c>
      <c r="O115" s="5">
        <f t="shared" si="13"/>
        <v>3.3928598476242406</v>
      </c>
      <c r="P115" s="5">
        <f t="shared" si="14"/>
        <v>86.438998439890327</v>
      </c>
      <c r="Q115" s="5">
        <f t="shared" si="15"/>
        <v>13.525024764847549</v>
      </c>
    </row>
    <row r="116" spans="1:17" x14ac:dyDescent="0.2">
      <c r="A116" t="str">
        <f t="shared" si="8"/>
        <v>Idaho_2015</v>
      </c>
      <c r="B116" t="s">
        <v>17</v>
      </c>
      <c r="C116">
        <v>2015</v>
      </c>
      <c r="D116" s="3">
        <v>1705292</v>
      </c>
      <c r="E116" s="3">
        <v>1469298.2530000012</v>
      </c>
      <c r="F116" s="3">
        <v>235431.74599999993</v>
      </c>
      <c r="G116" s="3">
        <v>82</v>
      </c>
      <c r="H116" s="3">
        <v>0</v>
      </c>
      <c r="I116" s="3">
        <v>45.977777777777781</v>
      </c>
      <c r="J116" s="3">
        <v>29.105</v>
      </c>
      <c r="K116" s="3">
        <f t="shared" si="9"/>
        <v>82</v>
      </c>
      <c r="L116" s="5">
        <f t="shared" si="10"/>
        <v>0</v>
      </c>
      <c r="M116" s="5">
        <f t="shared" si="11"/>
        <v>34.829627436904808</v>
      </c>
      <c r="N116" s="5">
        <f t="shared" si="12"/>
        <v>4.8085606453322951</v>
      </c>
      <c r="O116" s="5">
        <f t="shared" si="13"/>
        <v>4.8085606453322951</v>
      </c>
      <c r="P116" s="5">
        <f t="shared" si="14"/>
        <v>86.161094580869502</v>
      </c>
      <c r="Q116" s="5">
        <f t="shared" si="15"/>
        <v>13.805949127774008</v>
      </c>
    </row>
    <row r="117" spans="1:17" x14ac:dyDescent="0.2">
      <c r="A117" t="str">
        <f t="shared" si="8"/>
        <v>Idaho_2016</v>
      </c>
      <c r="B117" t="s">
        <v>17</v>
      </c>
      <c r="C117">
        <v>2016</v>
      </c>
      <c r="D117" s="3">
        <v>1554682</v>
      </c>
      <c r="E117" s="3">
        <v>1331874.6100000001</v>
      </c>
      <c r="F117" s="3">
        <v>221719.76499999996</v>
      </c>
      <c r="G117" s="3">
        <v>42</v>
      </c>
      <c r="H117" s="3">
        <v>0</v>
      </c>
      <c r="I117" s="3">
        <v>44.860000000000007</v>
      </c>
      <c r="J117" s="3">
        <v>28.494999999999994</v>
      </c>
      <c r="K117" s="3">
        <f t="shared" si="9"/>
        <v>42</v>
      </c>
      <c r="L117" s="5">
        <f t="shared" si="10"/>
        <v>0</v>
      </c>
      <c r="M117" s="5">
        <f t="shared" si="11"/>
        <v>18.942830829718769</v>
      </c>
      <c r="N117" s="5">
        <f t="shared" si="12"/>
        <v>2.7015170948142448</v>
      </c>
      <c r="O117" s="5">
        <f t="shared" si="13"/>
        <v>2.7015170948142448</v>
      </c>
      <c r="P117" s="5">
        <f t="shared" si="14"/>
        <v>85.668619692001329</v>
      </c>
      <c r="Q117" s="5">
        <f t="shared" si="15"/>
        <v>14.261422271564214</v>
      </c>
    </row>
    <row r="118" spans="1:17" x14ac:dyDescent="0.2">
      <c r="A118" t="str">
        <f t="shared" si="8"/>
        <v>Idaho_2017</v>
      </c>
      <c r="B118" t="s">
        <v>17</v>
      </c>
      <c r="C118">
        <v>2017</v>
      </c>
      <c r="D118" s="3">
        <v>1576319</v>
      </c>
      <c r="E118" s="3">
        <v>1341857</v>
      </c>
      <c r="F118" s="3">
        <v>234462</v>
      </c>
      <c r="G118" s="3">
        <v>105</v>
      </c>
      <c r="H118" s="3">
        <v>0</v>
      </c>
      <c r="I118" s="3">
        <v>36</v>
      </c>
      <c r="J118" s="3">
        <v>29.147368421052629</v>
      </c>
      <c r="K118" s="3">
        <f t="shared" si="9"/>
        <v>105</v>
      </c>
      <c r="L118" s="5">
        <f t="shared" si="10"/>
        <v>0</v>
      </c>
      <c r="M118" s="5">
        <f t="shared" si="11"/>
        <v>44.783376410676354</v>
      </c>
      <c r="N118" s="5">
        <f t="shared" si="12"/>
        <v>6.6610882695698015</v>
      </c>
      <c r="O118" s="5">
        <f t="shared" si="13"/>
        <v>6.6610882695698015</v>
      </c>
      <c r="P118" s="5">
        <f t="shared" si="14"/>
        <v>85.12598021085833</v>
      </c>
      <c r="Q118" s="5">
        <f t="shared" si="15"/>
        <v>14.874019789141665</v>
      </c>
    </row>
    <row r="119" spans="1:17" x14ac:dyDescent="0.2">
      <c r="A119" t="str">
        <f t="shared" si="8"/>
        <v>Illinois_2009</v>
      </c>
      <c r="B119" t="s">
        <v>18</v>
      </c>
      <c r="C119">
        <v>2009</v>
      </c>
      <c r="D119" s="3">
        <v>12892496</v>
      </c>
      <c r="E119" s="3">
        <v>11323887.041000003</v>
      </c>
      <c r="F119" s="3">
        <v>1567731.6029999992</v>
      </c>
      <c r="G119" s="3">
        <v>2006</v>
      </c>
      <c r="H119" s="3">
        <v>262</v>
      </c>
      <c r="I119" s="3">
        <v>44.328571428571429</v>
      </c>
      <c r="J119" s="3">
        <v>33.007142857142853</v>
      </c>
      <c r="K119" s="3">
        <f t="shared" si="9"/>
        <v>2268</v>
      </c>
      <c r="L119" s="5">
        <f t="shared" si="10"/>
        <v>2.3136931607617219</v>
      </c>
      <c r="M119" s="5">
        <f t="shared" si="11"/>
        <v>127.95557582441623</v>
      </c>
      <c r="N119" s="5">
        <f t="shared" si="12"/>
        <v>17.59162849459096</v>
      </c>
      <c r="O119" s="5">
        <f t="shared" si="13"/>
        <v>17.59162849459096</v>
      </c>
      <c r="P119" s="5">
        <f t="shared" si="14"/>
        <v>87.833163112868164</v>
      </c>
      <c r="Q119" s="5">
        <f t="shared" si="15"/>
        <v>12.160031719226435</v>
      </c>
    </row>
    <row r="120" spans="1:17" x14ac:dyDescent="0.2">
      <c r="A120" t="str">
        <f t="shared" si="8"/>
        <v>Illinois_2010</v>
      </c>
      <c r="B120" t="s">
        <v>18</v>
      </c>
      <c r="C120">
        <v>2010</v>
      </c>
      <c r="D120" s="3">
        <v>12896183</v>
      </c>
      <c r="E120" s="3">
        <v>11310436.771000003</v>
      </c>
      <c r="F120" s="3">
        <v>1588855.1100000006</v>
      </c>
      <c r="G120" s="3">
        <v>1912</v>
      </c>
      <c r="H120" s="3">
        <v>168</v>
      </c>
      <c r="I120" s="3">
        <v>52.511111111111106</v>
      </c>
      <c r="J120" s="3">
        <v>32.333333333333336</v>
      </c>
      <c r="K120" s="3">
        <f t="shared" si="9"/>
        <v>2080</v>
      </c>
      <c r="L120" s="5">
        <f t="shared" si="10"/>
        <v>1.4853537790048263</v>
      </c>
      <c r="M120" s="5">
        <f t="shared" si="11"/>
        <v>120.33822265895594</v>
      </c>
      <c r="N120" s="5">
        <f t="shared" si="12"/>
        <v>16.128803383140578</v>
      </c>
      <c r="O120" s="5">
        <f t="shared" si="13"/>
        <v>16.128803383140578</v>
      </c>
      <c r="P120" s="5">
        <f t="shared" si="14"/>
        <v>87.703755219664643</v>
      </c>
      <c r="Q120" s="5">
        <f t="shared" si="15"/>
        <v>12.320351766100098</v>
      </c>
    </row>
    <row r="121" spans="1:17" x14ac:dyDescent="0.2">
      <c r="A121" t="str">
        <f t="shared" si="8"/>
        <v>Illinois_2011</v>
      </c>
      <c r="B121" t="s">
        <v>18</v>
      </c>
      <c r="C121">
        <v>2011</v>
      </c>
      <c r="D121" s="3">
        <v>12741975</v>
      </c>
      <c r="E121" s="3">
        <v>11150233.557</v>
      </c>
      <c r="F121" s="3">
        <v>1583939.8500000003</v>
      </c>
      <c r="G121" s="3">
        <v>2049</v>
      </c>
      <c r="H121" s="3">
        <v>242</v>
      </c>
      <c r="I121" s="3">
        <v>44.540000000000006</v>
      </c>
      <c r="J121" s="3">
        <v>30.278947368421058</v>
      </c>
      <c r="K121" s="3">
        <f t="shared" si="9"/>
        <v>2291</v>
      </c>
      <c r="L121" s="5">
        <f t="shared" si="10"/>
        <v>2.1703581253513291</v>
      </c>
      <c r="M121" s="5">
        <f t="shared" si="11"/>
        <v>129.36097289300471</v>
      </c>
      <c r="N121" s="5">
        <f t="shared" si="12"/>
        <v>17.979944239413435</v>
      </c>
      <c r="O121" s="5">
        <f t="shared" si="13"/>
        <v>17.979944239413435</v>
      </c>
      <c r="P121" s="5">
        <f t="shared" si="14"/>
        <v>87.507890707680716</v>
      </c>
      <c r="Q121" s="5">
        <f t="shared" si="15"/>
        <v>12.43088179030331</v>
      </c>
    </row>
    <row r="122" spans="1:17" x14ac:dyDescent="0.2">
      <c r="A122" t="str">
        <f t="shared" si="8"/>
        <v>Illinois_2012</v>
      </c>
      <c r="B122" t="s">
        <v>18</v>
      </c>
      <c r="C122">
        <v>2012</v>
      </c>
      <c r="D122" s="3">
        <v>12856518</v>
      </c>
      <c r="E122" s="3">
        <v>11229183.032999994</v>
      </c>
      <c r="F122" s="3">
        <v>1631519.209</v>
      </c>
      <c r="G122" s="3">
        <v>1983</v>
      </c>
      <c r="H122" s="3">
        <v>218</v>
      </c>
      <c r="I122" s="3">
        <v>47.69</v>
      </c>
      <c r="J122" s="3">
        <v>33.863157894736844</v>
      </c>
      <c r="K122" s="3">
        <f t="shared" si="9"/>
        <v>2201</v>
      </c>
      <c r="L122" s="5">
        <f t="shared" si="10"/>
        <v>1.9413700832852041</v>
      </c>
      <c r="M122" s="5">
        <f t="shared" si="11"/>
        <v>121.54315983906997</v>
      </c>
      <c r="N122" s="5">
        <f t="shared" si="12"/>
        <v>17.119720907324982</v>
      </c>
      <c r="O122" s="5">
        <f t="shared" si="13"/>
        <v>17.119720907324982</v>
      </c>
      <c r="P122" s="5">
        <f t="shared" si="14"/>
        <v>87.342335094152205</v>
      </c>
      <c r="Q122" s="5">
        <f t="shared" si="15"/>
        <v>12.69021059201255</v>
      </c>
    </row>
    <row r="123" spans="1:17" x14ac:dyDescent="0.2">
      <c r="A123" t="str">
        <f t="shared" si="8"/>
        <v>Illinois_2013</v>
      </c>
      <c r="B123" t="s">
        <v>18</v>
      </c>
      <c r="C123">
        <v>2013</v>
      </c>
      <c r="D123" s="3">
        <v>12791075</v>
      </c>
      <c r="E123" s="3">
        <v>11145839.058000002</v>
      </c>
      <c r="F123" s="3">
        <v>1638812.4440000004</v>
      </c>
      <c r="G123" s="3">
        <v>2122</v>
      </c>
      <c r="H123" s="3">
        <v>185</v>
      </c>
      <c r="I123" s="3">
        <v>51.466666666666669</v>
      </c>
      <c r="J123" s="3">
        <v>32.257142857142853</v>
      </c>
      <c r="K123" s="3">
        <f t="shared" si="9"/>
        <v>2307</v>
      </c>
      <c r="L123" s="5">
        <f t="shared" si="10"/>
        <v>1.6598122316077677</v>
      </c>
      <c r="M123" s="5">
        <f t="shared" si="11"/>
        <v>129.4840057975542</v>
      </c>
      <c r="N123" s="5">
        <f t="shared" si="12"/>
        <v>18.036013392150387</v>
      </c>
      <c r="O123" s="5">
        <f t="shared" si="13"/>
        <v>18.036013392150387</v>
      </c>
      <c r="P123" s="5">
        <f t="shared" si="14"/>
        <v>87.137625711677885</v>
      </c>
      <c r="Q123" s="5">
        <f t="shared" si="15"/>
        <v>12.812155694497923</v>
      </c>
    </row>
    <row r="124" spans="1:17" x14ac:dyDescent="0.2">
      <c r="A124" t="str">
        <f t="shared" si="8"/>
        <v>Illinois_2014</v>
      </c>
      <c r="B124" t="s">
        <v>18</v>
      </c>
      <c r="C124">
        <v>2014</v>
      </c>
      <c r="D124" s="3">
        <v>12811495</v>
      </c>
      <c r="E124" s="3">
        <v>11136105.044000002</v>
      </c>
      <c r="F124" s="3">
        <v>1669800.54</v>
      </c>
      <c r="G124" s="3">
        <v>2125</v>
      </c>
      <c r="H124" s="3">
        <v>229</v>
      </c>
      <c r="I124" s="3">
        <v>45.92</v>
      </c>
      <c r="J124" s="3">
        <v>31.604761904761901</v>
      </c>
      <c r="K124" s="3">
        <f t="shared" si="9"/>
        <v>2354</v>
      </c>
      <c r="L124" s="5">
        <f t="shared" si="10"/>
        <v>2.0563742807309673</v>
      </c>
      <c r="M124" s="5">
        <f t="shared" si="11"/>
        <v>127.26070863529604</v>
      </c>
      <c r="N124" s="5">
        <f t="shared" si="12"/>
        <v>18.374124175203598</v>
      </c>
      <c r="O124" s="5">
        <f t="shared" si="13"/>
        <v>18.374124175203598</v>
      </c>
      <c r="P124" s="5">
        <f t="shared" si="14"/>
        <v>86.922759943316535</v>
      </c>
      <c r="Q124" s="5">
        <f t="shared" si="15"/>
        <v>13.033611924291428</v>
      </c>
    </row>
    <row r="125" spans="1:17" x14ac:dyDescent="0.2">
      <c r="A125" t="str">
        <f t="shared" si="8"/>
        <v>Illinois_2015</v>
      </c>
      <c r="B125" t="s">
        <v>18</v>
      </c>
      <c r="C125">
        <v>2015</v>
      </c>
      <c r="D125" s="3">
        <v>13220780</v>
      </c>
      <c r="E125" s="3">
        <v>11442363.370000007</v>
      </c>
      <c r="F125" s="3">
        <v>1775015.9630000009</v>
      </c>
      <c r="G125" s="3">
        <v>1997</v>
      </c>
      <c r="H125" s="3">
        <v>214</v>
      </c>
      <c r="I125" s="3">
        <v>43.94</v>
      </c>
      <c r="J125" s="3">
        <v>32.042857142857137</v>
      </c>
      <c r="K125" s="3">
        <f t="shared" si="9"/>
        <v>2211</v>
      </c>
      <c r="L125" s="5">
        <f t="shared" si="10"/>
        <v>1.8702430003321935</v>
      </c>
      <c r="M125" s="5">
        <f t="shared" si="11"/>
        <v>112.50603045985108</v>
      </c>
      <c r="N125" s="5">
        <f t="shared" si="12"/>
        <v>16.723672884655823</v>
      </c>
      <c r="O125" s="5">
        <f t="shared" si="13"/>
        <v>16.723672884655823</v>
      </c>
      <c r="P125" s="5">
        <f t="shared" si="14"/>
        <v>86.548322943124433</v>
      </c>
      <c r="Q125" s="5">
        <f t="shared" si="15"/>
        <v>13.425954920965335</v>
      </c>
    </row>
    <row r="126" spans="1:17" x14ac:dyDescent="0.2">
      <c r="A126" t="str">
        <f t="shared" si="8"/>
        <v>Illinois_2016</v>
      </c>
      <c r="B126" t="s">
        <v>18</v>
      </c>
      <c r="C126">
        <v>2016</v>
      </c>
      <c r="D126" s="3">
        <v>12858632</v>
      </c>
      <c r="E126" s="3">
        <v>11069105.146999996</v>
      </c>
      <c r="F126" s="3">
        <v>1786351.7469999995</v>
      </c>
      <c r="G126" s="3">
        <v>1799</v>
      </c>
      <c r="H126" s="3">
        <v>242</v>
      </c>
      <c r="I126" s="3">
        <v>52.244444444444447</v>
      </c>
      <c r="J126" s="3">
        <v>33.17</v>
      </c>
      <c r="K126" s="3">
        <f t="shared" si="9"/>
        <v>2041</v>
      </c>
      <c r="L126" s="5">
        <f t="shared" si="10"/>
        <v>2.1862652561900004</v>
      </c>
      <c r="M126" s="5">
        <f t="shared" si="11"/>
        <v>100.70804940971126</v>
      </c>
      <c r="N126" s="5">
        <f t="shared" si="12"/>
        <v>15.872606043939978</v>
      </c>
      <c r="O126" s="5">
        <f t="shared" si="13"/>
        <v>15.872606043939978</v>
      </c>
      <c r="P126" s="5">
        <f t="shared" si="14"/>
        <v>86.083069699793853</v>
      </c>
      <c r="Q126" s="5">
        <f t="shared" si="15"/>
        <v>13.892237891246904</v>
      </c>
    </row>
    <row r="127" spans="1:17" x14ac:dyDescent="0.2">
      <c r="A127" t="str">
        <f t="shared" si="8"/>
        <v>Illinois_2017</v>
      </c>
      <c r="B127" t="s">
        <v>18</v>
      </c>
      <c r="C127">
        <v>2017</v>
      </c>
      <c r="D127" s="3">
        <v>13030989</v>
      </c>
      <c r="E127" s="3">
        <v>11159510</v>
      </c>
      <c r="F127" s="3">
        <v>1871479</v>
      </c>
      <c r="G127" s="3">
        <v>2026</v>
      </c>
      <c r="H127" s="3">
        <v>225</v>
      </c>
      <c r="I127" s="3">
        <v>46.1</v>
      </c>
      <c r="J127" s="3">
        <v>29.899999999999988</v>
      </c>
      <c r="K127" s="3">
        <f t="shared" si="9"/>
        <v>2251</v>
      </c>
      <c r="L127" s="5">
        <f t="shared" si="10"/>
        <v>2.0162175579393717</v>
      </c>
      <c r="M127" s="5">
        <f t="shared" si="11"/>
        <v>108.25662484056727</v>
      </c>
      <c r="N127" s="5">
        <f t="shared" si="12"/>
        <v>17.274206892508314</v>
      </c>
      <c r="O127" s="5">
        <f t="shared" si="13"/>
        <v>17.274206892508314</v>
      </c>
      <c r="P127" s="5">
        <f t="shared" si="14"/>
        <v>85.638242807203653</v>
      </c>
      <c r="Q127" s="5">
        <f t="shared" si="15"/>
        <v>14.36175719279634</v>
      </c>
    </row>
    <row r="128" spans="1:17" x14ac:dyDescent="0.2">
      <c r="A128" t="str">
        <f t="shared" si="8"/>
        <v>Indiana_2009</v>
      </c>
      <c r="B128" t="s">
        <v>19</v>
      </c>
      <c r="C128">
        <v>2009</v>
      </c>
      <c r="D128" s="3">
        <v>6401961</v>
      </c>
      <c r="E128" s="3">
        <v>5591421.3759999992</v>
      </c>
      <c r="F128" s="3">
        <v>807239.11500000011</v>
      </c>
      <c r="G128" s="3">
        <v>931</v>
      </c>
      <c r="H128" s="3">
        <v>45</v>
      </c>
      <c r="I128" s="3">
        <v>42.742857142857147</v>
      </c>
      <c r="J128" s="3">
        <v>37.767857142857146</v>
      </c>
      <c r="K128" s="3">
        <f t="shared" si="9"/>
        <v>976</v>
      </c>
      <c r="L128" s="5">
        <f t="shared" si="10"/>
        <v>0.8048043059883313</v>
      </c>
      <c r="M128" s="5">
        <f t="shared" si="11"/>
        <v>115.33137860892678</v>
      </c>
      <c r="N128" s="5">
        <f t="shared" si="12"/>
        <v>15.245328735991986</v>
      </c>
      <c r="O128" s="5">
        <f t="shared" si="13"/>
        <v>15.245328735991986</v>
      </c>
      <c r="P128" s="5">
        <f t="shared" si="14"/>
        <v>87.339197723947379</v>
      </c>
      <c r="Q128" s="5">
        <f t="shared" si="15"/>
        <v>12.609247619596559</v>
      </c>
    </row>
    <row r="129" spans="1:17" x14ac:dyDescent="0.2">
      <c r="A129" t="str">
        <f t="shared" si="8"/>
        <v>Indiana_2010</v>
      </c>
      <c r="B129" t="s">
        <v>19</v>
      </c>
      <c r="C129">
        <v>2010</v>
      </c>
      <c r="D129" s="3">
        <v>6481765</v>
      </c>
      <c r="E129" s="3">
        <v>5657503.4060000004</v>
      </c>
      <c r="F129" s="3">
        <v>825319.79400000058</v>
      </c>
      <c r="G129" s="3">
        <v>951</v>
      </c>
      <c r="H129" s="3">
        <v>53</v>
      </c>
      <c r="I129" s="3">
        <v>49.62</v>
      </c>
      <c r="J129" s="3">
        <v>29.852631578947364</v>
      </c>
      <c r="K129" s="3">
        <f t="shared" si="9"/>
        <v>1004</v>
      </c>
      <c r="L129" s="5">
        <f t="shared" si="10"/>
        <v>0.93680898086232633</v>
      </c>
      <c r="M129" s="5">
        <f t="shared" si="11"/>
        <v>115.22806152399143</v>
      </c>
      <c r="N129" s="5">
        <f t="shared" si="12"/>
        <v>15.489608154569011</v>
      </c>
      <c r="O129" s="5">
        <f t="shared" si="13"/>
        <v>15.489608154569011</v>
      </c>
      <c r="P129" s="5">
        <f t="shared" si="14"/>
        <v>87.283377382549361</v>
      </c>
      <c r="Q129" s="5">
        <f t="shared" si="15"/>
        <v>12.732948417599227</v>
      </c>
    </row>
    <row r="130" spans="1:17" x14ac:dyDescent="0.2">
      <c r="A130" t="str">
        <f t="shared" si="8"/>
        <v>Indiana_2011</v>
      </c>
      <c r="B130" t="s">
        <v>19</v>
      </c>
      <c r="C130">
        <v>2011</v>
      </c>
      <c r="D130" s="3">
        <v>6258004</v>
      </c>
      <c r="E130" s="3">
        <v>5458678.6370000001</v>
      </c>
      <c r="F130" s="3">
        <v>801278.52499999991</v>
      </c>
      <c r="G130" s="3">
        <v>785</v>
      </c>
      <c r="H130" s="3">
        <v>12</v>
      </c>
      <c r="I130" s="3">
        <v>53.488888888888887</v>
      </c>
      <c r="J130" s="3">
        <v>32.284210526315789</v>
      </c>
      <c r="K130" s="3">
        <f t="shared" si="9"/>
        <v>797</v>
      </c>
      <c r="L130" s="5">
        <f t="shared" si="10"/>
        <v>0.21983342119943891</v>
      </c>
      <c r="M130" s="5">
        <f t="shared" si="11"/>
        <v>97.968431139471775</v>
      </c>
      <c r="N130" s="5">
        <f t="shared" si="12"/>
        <v>12.735690165746139</v>
      </c>
      <c r="O130" s="5">
        <f t="shared" si="13"/>
        <v>12.735690165746139</v>
      </c>
      <c r="P130" s="5">
        <f t="shared" si="14"/>
        <v>87.227151612558899</v>
      </c>
      <c r="Q130" s="5">
        <f t="shared" si="15"/>
        <v>12.804059009869597</v>
      </c>
    </row>
    <row r="131" spans="1:17" x14ac:dyDescent="0.2">
      <c r="A131" t="str">
        <f t="shared" ref="A131:A194" si="16">B131&amp;"_"&amp;C131</f>
        <v>Indiana_2012</v>
      </c>
      <c r="B131" t="s">
        <v>19</v>
      </c>
      <c r="C131">
        <v>2012</v>
      </c>
      <c r="D131" s="3">
        <v>6524394</v>
      </c>
      <c r="E131" s="3">
        <v>5664927.3449999997</v>
      </c>
      <c r="F131" s="3">
        <v>857917.85400000017</v>
      </c>
      <c r="G131" s="3">
        <v>751</v>
      </c>
      <c r="H131" s="3">
        <v>0</v>
      </c>
      <c r="I131" s="3">
        <v>48.149999999999991</v>
      </c>
      <c r="J131" s="3">
        <v>31.864999999999998</v>
      </c>
      <c r="K131" s="3">
        <f t="shared" ref="K131:K194" si="17">G131+H131</f>
        <v>751</v>
      </c>
      <c r="L131" s="5">
        <f t="shared" ref="L131:L194" si="18">IF(E131=0,"",H131/E131*100000)</f>
        <v>0</v>
      </c>
      <c r="M131" s="5">
        <f t="shared" ref="M131:M194" si="19">IF(F131=0,"",G131/F131*100000)</f>
        <v>87.537518481343994</v>
      </c>
      <c r="N131" s="5">
        <f t="shared" ref="N131:N194" si="20">IF(D131=0,"",K131/D131*100000)</f>
        <v>11.510647578916908</v>
      </c>
      <c r="O131" s="5">
        <f t="shared" ref="O131:O194" si="21">N131</f>
        <v>11.510647578916908</v>
      </c>
      <c r="P131" s="5">
        <f t="shared" ref="P131:P194" si="22">IF(D131=0,"",E131/D131*100)</f>
        <v>86.826873806210969</v>
      </c>
      <c r="Q131" s="5">
        <f t="shared" ref="Q131:Q194" si="23">IF(D131=0,"",F131/D131*100)</f>
        <v>13.149387575305846</v>
      </c>
    </row>
    <row r="132" spans="1:17" x14ac:dyDescent="0.2">
      <c r="A132" t="str">
        <f t="shared" si="16"/>
        <v>Indiana_2013</v>
      </c>
      <c r="B132" t="s">
        <v>19</v>
      </c>
      <c r="C132">
        <v>2013</v>
      </c>
      <c r="D132" s="3">
        <v>6566223</v>
      </c>
      <c r="E132" s="3">
        <v>5698921.268000002</v>
      </c>
      <c r="F132" s="3">
        <v>869832.59699999983</v>
      </c>
      <c r="G132" s="3">
        <v>892</v>
      </c>
      <c r="H132" s="3">
        <v>55</v>
      </c>
      <c r="I132" s="3">
        <v>46.239999999999995</v>
      </c>
      <c r="J132" s="3">
        <v>29.633333333333333</v>
      </c>
      <c r="K132" s="3">
        <f t="shared" si="17"/>
        <v>947</v>
      </c>
      <c r="L132" s="5">
        <f t="shared" si="18"/>
        <v>0.96509492610172309</v>
      </c>
      <c r="M132" s="5">
        <f t="shared" si="19"/>
        <v>102.54846772545135</v>
      </c>
      <c r="N132" s="5">
        <f t="shared" si="20"/>
        <v>14.42229421693415</v>
      </c>
      <c r="O132" s="5">
        <f t="shared" si="21"/>
        <v>14.42229421693415</v>
      </c>
      <c r="P132" s="5">
        <f t="shared" si="22"/>
        <v>86.791466997084967</v>
      </c>
      <c r="Q132" s="5">
        <f t="shared" si="23"/>
        <v>13.247076698430741</v>
      </c>
    </row>
    <row r="133" spans="1:17" x14ac:dyDescent="0.2">
      <c r="A133" t="str">
        <f t="shared" si="16"/>
        <v>Indiana_2014</v>
      </c>
      <c r="B133" t="s">
        <v>19</v>
      </c>
      <c r="C133">
        <v>2014</v>
      </c>
      <c r="D133" s="3">
        <v>6372916</v>
      </c>
      <c r="E133" s="3">
        <v>5505108.7290000003</v>
      </c>
      <c r="F133" s="3">
        <v>866928.72600000014</v>
      </c>
      <c r="G133" s="3">
        <v>805</v>
      </c>
      <c r="H133" s="3">
        <v>77</v>
      </c>
      <c r="I133" s="3">
        <v>48.12</v>
      </c>
      <c r="J133" s="3">
        <v>33.489999999999995</v>
      </c>
      <c r="K133" s="3">
        <f t="shared" si="17"/>
        <v>882</v>
      </c>
      <c r="L133" s="5">
        <f t="shared" si="18"/>
        <v>1.3987008030264101</v>
      </c>
      <c r="M133" s="5">
        <f t="shared" si="19"/>
        <v>92.856537781861419</v>
      </c>
      <c r="N133" s="5">
        <f t="shared" si="20"/>
        <v>13.839818381412842</v>
      </c>
      <c r="O133" s="5">
        <f t="shared" si="21"/>
        <v>13.839818381412842</v>
      </c>
      <c r="P133" s="5">
        <f t="shared" si="22"/>
        <v>86.382885464048172</v>
      </c>
      <c r="Q133" s="5">
        <f t="shared" si="23"/>
        <v>13.60332893137145</v>
      </c>
    </row>
    <row r="134" spans="1:17" x14ac:dyDescent="0.2">
      <c r="A134" t="str">
        <f t="shared" si="16"/>
        <v>Indiana_2015</v>
      </c>
      <c r="B134" t="s">
        <v>19</v>
      </c>
      <c r="C134">
        <v>2015</v>
      </c>
      <c r="D134" s="3">
        <v>6539401</v>
      </c>
      <c r="E134" s="3">
        <v>5628629.6089999974</v>
      </c>
      <c r="F134" s="3">
        <v>911629.66499999992</v>
      </c>
      <c r="G134" s="3">
        <v>850</v>
      </c>
      <c r="H134" s="3">
        <v>13</v>
      </c>
      <c r="I134" s="3">
        <v>46.43</v>
      </c>
      <c r="J134" s="3">
        <v>32.125</v>
      </c>
      <c r="K134" s="3">
        <f t="shared" si="17"/>
        <v>863</v>
      </c>
      <c r="L134" s="5">
        <f t="shared" si="18"/>
        <v>0.23096207963681636</v>
      </c>
      <c r="M134" s="5">
        <f t="shared" si="19"/>
        <v>93.239616111000515</v>
      </c>
      <c r="N134" s="5">
        <f t="shared" si="20"/>
        <v>13.196927363836535</v>
      </c>
      <c r="O134" s="5">
        <f t="shared" si="21"/>
        <v>13.196927363836535</v>
      </c>
      <c r="P134" s="5">
        <f t="shared" si="22"/>
        <v>86.072556324348326</v>
      </c>
      <c r="Q134" s="5">
        <f t="shared" si="23"/>
        <v>13.940568333399343</v>
      </c>
    </row>
    <row r="135" spans="1:17" x14ac:dyDescent="0.2">
      <c r="A135" t="str">
        <f t="shared" si="16"/>
        <v>Indiana_2016</v>
      </c>
      <c r="B135" t="s">
        <v>19</v>
      </c>
      <c r="C135">
        <v>2016</v>
      </c>
      <c r="D135" s="3">
        <v>6685870</v>
      </c>
      <c r="E135" s="3">
        <v>5728357.8610000014</v>
      </c>
      <c r="F135" s="3">
        <v>957088.32200000016</v>
      </c>
      <c r="G135" s="3">
        <v>749</v>
      </c>
      <c r="H135" s="3">
        <v>63</v>
      </c>
      <c r="I135" s="3">
        <v>44.36</v>
      </c>
      <c r="J135" s="3">
        <v>31.585714285714289</v>
      </c>
      <c r="K135" s="3">
        <f t="shared" si="17"/>
        <v>812</v>
      </c>
      <c r="L135" s="5">
        <f t="shared" si="18"/>
        <v>1.0997916249073529</v>
      </c>
      <c r="M135" s="5">
        <f t="shared" si="19"/>
        <v>78.258190261358124</v>
      </c>
      <c r="N135" s="5">
        <f t="shared" si="20"/>
        <v>12.14501628060372</v>
      </c>
      <c r="O135" s="5">
        <f t="shared" si="21"/>
        <v>12.14501628060372</v>
      </c>
      <c r="P135" s="5">
        <f t="shared" si="22"/>
        <v>85.678570791834147</v>
      </c>
      <c r="Q135" s="5">
        <f t="shared" si="23"/>
        <v>14.315090212642486</v>
      </c>
    </row>
    <row r="136" spans="1:17" x14ac:dyDescent="0.2">
      <c r="A136" t="str">
        <f t="shared" si="16"/>
        <v>Indiana_2017</v>
      </c>
      <c r="B136" t="s">
        <v>19</v>
      </c>
      <c r="C136">
        <v>2017</v>
      </c>
      <c r="D136" s="3">
        <v>6761818</v>
      </c>
      <c r="E136" s="3">
        <v>5762349</v>
      </c>
      <c r="F136" s="3">
        <v>999469</v>
      </c>
      <c r="G136" s="3">
        <v>882</v>
      </c>
      <c r="H136" s="3">
        <v>57</v>
      </c>
      <c r="I136" s="3">
        <v>39.42</v>
      </c>
      <c r="J136" s="3">
        <v>28.290476190476191</v>
      </c>
      <c r="K136" s="3">
        <f t="shared" si="17"/>
        <v>939</v>
      </c>
      <c r="L136" s="5">
        <f t="shared" si="18"/>
        <v>0.98917993339174703</v>
      </c>
      <c r="M136" s="5">
        <f t="shared" si="19"/>
        <v>88.246859082172634</v>
      </c>
      <c r="N136" s="5">
        <f t="shared" si="20"/>
        <v>13.88679789961812</v>
      </c>
      <c r="O136" s="5">
        <f t="shared" si="21"/>
        <v>13.88679789961812</v>
      </c>
      <c r="P136" s="5">
        <f t="shared" si="22"/>
        <v>85.218930766844068</v>
      </c>
      <c r="Q136" s="5">
        <f t="shared" si="23"/>
        <v>14.781069233155936</v>
      </c>
    </row>
    <row r="137" spans="1:17" x14ac:dyDescent="0.2">
      <c r="A137" t="str">
        <f t="shared" si="16"/>
        <v>Iowa_2009</v>
      </c>
      <c r="B137" t="s">
        <v>20</v>
      </c>
      <c r="C137">
        <v>2009</v>
      </c>
      <c r="D137" s="3">
        <v>2972825</v>
      </c>
      <c r="E137" s="3">
        <v>2535144.2410000004</v>
      </c>
      <c r="F137" s="3">
        <v>436989.89300000016</v>
      </c>
      <c r="G137" s="3">
        <v>506</v>
      </c>
      <c r="H137" s="3">
        <v>22</v>
      </c>
      <c r="I137" s="3">
        <v>48.196428571428577</v>
      </c>
      <c r="J137" s="3">
        <v>40.589285714285715</v>
      </c>
      <c r="K137" s="3">
        <f t="shared" si="17"/>
        <v>528</v>
      </c>
      <c r="L137" s="5">
        <f t="shared" si="18"/>
        <v>0.86780072092947225</v>
      </c>
      <c r="M137" s="5">
        <f t="shared" si="19"/>
        <v>115.7921517420541</v>
      </c>
      <c r="N137" s="5">
        <f t="shared" si="20"/>
        <v>17.760884007635834</v>
      </c>
      <c r="O137" s="5">
        <f t="shared" si="21"/>
        <v>17.760884007635834</v>
      </c>
      <c r="P137" s="5">
        <f t="shared" si="22"/>
        <v>85.27727804361173</v>
      </c>
      <c r="Q137" s="5">
        <f t="shared" si="23"/>
        <v>14.699482579701131</v>
      </c>
    </row>
    <row r="138" spans="1:17" x14ac:dyDescent="0.2">
      <c r="A138" t="str">
        <f t="shared" si="16"/>
        <v>Iowa_2010</v>
      </c>
      <c r="B138" t="s">
        <v>20</v>
      </c>
      <c r="C138">
        <v>2010</v>
      </c>
      <c r="D138" s="3">
        <v>2995769</v>
      </c>
      <c r="E138" s="3">
        <v>2553166.0149999987</v>
      </c>
      <c r="F138" s="3">
        <v>442693.54300000006</v>
      </c>
      <c r="G138" s="3">
        <v>434</v>
      </c>
      <c r="H138" s="3">
        <v>0</v>
      </c>
      <c r="I138" s="3">
        <v>62.511111111111113</v>
      </c>
      <c r="J138" s="3">
        <v>39.344444444444456</v>
      </c>
      <c r="K138" s="3">
        <f t="shared" si="17"/>
        <v>434</v>
      </c>
      <c r="L138" s="5">
        <f t="shared" si="18"/>
        <v>0</v>
      </c>
      <c r="M138" s="5">
        <f t="shared" si="19"/>
        <v>98.036216444205053</v>
      </c>
      <c r="N138" s="5">
        <f t="shared" si="20"/>
        <v>14.48709830430851</v>
      </c>
      <c r="O138" s="5">
        <f t="shared" si="21"/>
        <v>14.48709830430851</v>
      </c>
      <c r="P138" s="5">
        <f t="shared" si="22"/>
        <v>85.225730521946076</v>
      </c>
      <c r="Q138" s="5">
        <f t="shared" si="23"/>
        <v>14.777292341298681</v>
      </c>
    </row>
    <row r="139" spans="1:17" x14ac:dyDescent="0.2">
      <c r="A139" t="str">
        <f t="shared" si="16"/>
        <v>Iowa_2011</v>
      </c>
      <c r="B139" t="s">
        <v>20</v>
      </c>
      <c r="C139">
        <v>2011</v>
      </c>
      <c r="D139" s="3">
        <v>2980619</v>
      </c>
      <c r="E139" s="3">
        <v>2541335.9499999993</v>
      </c>
      <c r="F139" s="3">
        <v>438643.24500000011</v>
      </c>
      <c r="G139" s="3">
        <v>497</v>
      </c>
      <c r="H139" s="3">
        <v>0</v>
      </c>
      <c r="I139" s="3">
        <v>58.220000000000006</v>
      </c>
      <c r="J139" s="3">
        <v>34.825000000000003</v>
      </c>
      <c r="K139" s="3">
        <f t="shared" si="17"/>
        <v>497</v>
      </c>
      <c r="L139" s="5">
        <f t="shared" si="18"/>
        <v>0</v>
      </c>
      <c r="M139" s="5">
        <f t="shared" si="19"/>
        <v>113.30392196054447</v>
      </c>
      <c r="N139" s="5">
        <f t="shared" si="20"/>
        <v>16.674388776291099</v>
      </c>
      <c r="O139" s="5">
        <f t="shared" si="21"/>
        <v>16.674388776291099</v>
      </c>
      <c r="P139" s="5">
        <f t="shared" si="22"/>
        <v>85.262019399326078</v>
      </c>
      <c r="Q139" s="5">
        <f t="shared" si="23"/>
        <v>14.716515093005853</v>
      </c>
    </row>
    <row r="140" spans="1:17" x14ac:dyDescent="0.2">
      <c r="A140" t="str">
        <f t="shared" si="16"/>
        <v>Iowa_2012</v>
      </c>
      <c r="B140" t="s">
        <v>20</v>
      </c>
      <c r="C140">
        <v>2012</v>
      </c>
      <c r="D140" s="3">
        <v>3164320</v>
      </c>
      <c r="E140" s="3">
        <v>2694266.0920000002</v>
      </c>
      <c r="F140" s="3">
        <v>468955.49900000007</v>
      </c>
      <c r="G140" s="3">
        <v>513</v>
      </c>
      <c r="H140" s="3">
        <v>0</v>
      </c>
      <c r="I140" s="3">
        <v>56.269999999999996</v>
      </c>
      <c r="J140" s="3">
        <v>36.200000000000003</v>
      </c>
      <c r="K140" s="3">
        <f t="shared" si="17"/>
        <v>513</v>
      </c>
      <c r="L140" s="5">
        <f t="shared" si="18"/>
        <v>0</v>
      </c>
      <c r="M140" s="5">
        <f t="shared" si="19"/>
        <v>109.39204276182289</v>
      </c>
      <c r="N140" s="5">
        <f t="shared" si="20"/>
        <v>16.212013955604995</v>
      </c>
      <c r="O140" s="5">
        <f t="shared" si="21"/>
        <v>16.212013955604995</v>
      </c>
      <c r="P140" s="5">
        <f t="shared" si="22"/>
        <v>85.145184178591293</v>
      </c>
      <c r="Q140" s="5">
        <f t="shared" si="23"/>
        <v>14.820103497749916</v>
      </c>
    </row>
    <row r="141" spans="1:17" x14ac:dyDescent="0.2">
      <c r="A141" t="str">
        <f t="shared" si="16"/>
        <v>Iowa_2013</v>
      </c>
      <c r="B141" t="s">
        <v>20</v>
      </c>
      <c r="C141">
        <v>2013</v>
      </c>
      <c r="D141" s="3">
        <v>3011954</v>
      </c>
      <c r="E141" s="3">
        <v>2562945.2779999999</v>
      </c>
      <c r="F141" s="3">
        <v>448141.68599999993</v>
      </c>
      <c r="G141" s="3">
        <v>621</v>
      </c>
      <c r="H141" s="3">
        <v>0</v>
      </c>
      <c r="I141" s="3">
        <v>52.720000000000006</v>
      </c>
      <c r="J141" s="3">
        <v>36.144999999999996</v>
      </c>
      <c r="K141" s="3">
        <f t="shared" si="17"/>
        <v>621</v>
      </c>
      <c r="L141" s="5">
        <f t="shared" si="18"/>
        <v>0</v>
      </c>
      <c r="M141" s="5">
        <f t="shared" si="19"/>
        <v>138.57224609986409</v>
      </c>
      <c r="N141" s="5">
        <f t="shared" si="20"/>
        <v>20.617844761241376</v>
      </c>
      <c r="O141" s="5">
        <f t="shared" si="21"/>
        <v>20.617844761241376</v>
      </c>
      <c r="P141" s="5">
        <f t="shared" si="22"/>
        <v>85.092444240516286</v>
      </c>
      <c r="Q141" s="5">
        <f t="shared" si="23"/>
        <v>14.878769264072425</v>
      </c>
    </row>
    <row r="142" spans="1:17" x14ac:dyDescent="0.2">
      <c r="A142" t="str">
        <f t="shared" si="16"/>
        <v>Iowa_2014</v>
      </c>
      <c r="B142" t="s">
        <v>20</v>
      </c>
      <c r="C142">
        <v>2014</v>
      </c>
      <c r="D142" s="3">
        <v>2996688</v>
      </c>
      <c r="E142" s="3">
        <v>2545404.7890000008</v>
      </c>
      <c r="F142" s="3">
        <v>451051.94599999994</v>
      </c>
      <c r="G142" s="3">
        <v>420</v>
      </c>
      <c r="H142" s="3">
        <v>0</v>
      </c>
      <c r="I142" s="3">
        <v>63.79999999999999</v>
      </c>
      <c r="J142" s="3">
        <v>36.671428571428571</v>
      </c>
      <c r="K142" s="3">
        <f t="shared" si="17"/>
        <v>420</v>
      </c>
      <c r="L142" s="5">
        <f t="shared" si="18"/>
        <v>0</v>
      </c>
      <c r="M142" s="5">
        <f t="shared" si="19"/>
        <v>93.115660784667142</v>
      </c>
      <c r="N142" s="5">
        <f t="shared" si="20"/>
        <v>14.015473082282842</v>
      </c>
      <c r="O142" s="5">
        <f t="shared" si="21"/>
        <v>14.015473082282842</v>
      </c>
      <c r="P142" s="5">
        <f t="shared" si="22"/>
        <v>84.940600723198429</v>
      </c>
      <c r="Q142" s="5">
        <f t="shared" si="23"/>
        <v>15.051681923510221</v>
      </c>
    </row>
    <row r="143" spans="1:17" x14ac:dyDescent="0.2">
      <c r="A143" t="str">
        <f t="shared" si="16"/>
        <v>Iowa_2015</v>
      </c>
      <c r="B143" t="s">
        <v>20</v>
      </c>
      <c r="C143">
        <v>2015</v>
      </c>
      <c r="D143" s="3">
        <v>3310134</v>
      </c>
      <c r="E143" s="3">
        <v>2795195.3089999999</v>
      </c>
      <c r="F143" s="3">
        <v>514464.50200000004</v>
      </c>
      <c r="G143" s="3">
        <v>451</v>
      </c>
      <c r="H143" s="3">
        <v>11</v>
      </c>
      <c r="I143" s="3">
        <v>55.820000000000007</v>
      </c>
      <c r="J143" s="3">
        <v>37.019047619047619</v>
      </c>
      <c r="K143" s="3">
        <f t="shared" si="17"/>
        <v>462</v>
      </c>
      <c r="L143" s="5">
        <f t="shared" si="18"/>
        <v>0.39353242918597076</v>
      </c>
      <c r="M143" s="5">
        <f t="shared" si="19"/>
        <v>87.663968698854944</v>
      </c>
      <c r="N143" s="5">
        <f t="shared" si="20"/>
        <v>13.957138895283393</v>
      </c>
      <c r="O143" s="5">
        <f t="shared" si="21"/>
        <v>13.957138895283393</v>
      </c>
      <c r="P143" s="5">
        <f t="shared" si="22"/>
        <v>84.443569625882205</v>
      </c>
      <c r="Q143" s="5">
        <f t="shared" si="23"/>
        <v>15.542105002395676</v>
      </c>
    </row>
    <row r="144" spans="1:17" x14ac:dyDescent="0.2">
      <c r="A144" t="str">
        <f t="shared" si="16"/>
        <v>Iowa_2016</v>
      </c>
      <c r="B144" t="s">
        <v>20</v>
      </c>
      <c r="C144">
        <v>2016</v>
      </c>
      <c r="D144" s="3">
        <v>3128608</v>
      </c>
      <c r="E144" s="3">
        <v>2642515.4019999993</v>
      </c>
      <c r="F144" s="3">
        <v>486383.4960000001</v>
      </c>
      <c r="G144" s="3">
        <v>362</v>
      </c>
      <c r="H144" s="3">
        <v>0</v>
      </c>
      <c r="I144" s="3">
        <v>51.909999999999989</v>
      </c>
      <c r="J144" s="3">
        <v>38.22</v>
      </c>
      <c r="K144" s="3">
        <f t="shared" si="17"/>
        <v>362</v>
      </c>
      <c r="L144" s="5">
        <f t="shared" si="18"/>
        <v>0</v>
      </c>
      <c r="M144" s="5">
        <f t="shared" si="19"/>
        <v>74.426867477427706</v>
      </c>
      <c r="N144" s="5">
        <f t="shared" si="20"/>
        <v>11.570641000726201</v>
      </c>
      <c r="O144" s="5">
        <f t="shared" si="21"/>
        <v>11.570641000726201</v>
      </c>
      <c r="P144" s="5">
        <f t="shared" si="22"/>
        <v>84.462975291247716</v>
      </c>
      <c r="Q144" s="5">
        <f t="shared" si="23"/>
        <v>15.546322709652346</v>
      </c>
    </row>
    <row r="145" spans="1:17" x14ac:dyDescent="0.2">
      <c r="A145" t="str">
        <f t="shared" si="16"/>
        <v>Iowa_2017</v>
      </c>
      <c r="B145" t="s">
        <v>20</v>
      </c>
      <c r="C145">
        <v>2017</v>
      </c>
      <c r="D145" s="3">
        <v>3049856</v>
      </c>
      <c r="E145" s="3">
        <v>2563894</v>
      </c>
      <c r="F145" s="3">
        <v>485962</v>
      </c>
      <c r="G145" s="3">
        <v>413</v>
      </c>
      <c r="H145" s="3">
        <v>0</v>
      </c>
      <c r="I145" s="3">
        <v>50.230000000000004</v>
      </c>
      <c r="J145" s="3">
        <v>36.524999999999999</v>
      </c>
      <c r="K145" s="3">
        <f t="shared" si="17"/>
        <v>413</v>
      </c>
      <c r="L145" s="5">
        <f t="shared" si="18"/>
        <v>0</v>
      </c>
      <c r="M145" s="5">
        <f t="shared" si="19"/>
        <v>84.986068869582397</v>
      </c>
      <c r="N145" s="5">
        <f t="shared" si="20"/>
        <v>13.541622948755611</v>
      </c>
      <c r="O145" s="5">
        <f t="shared" si="21"/>
        <v>13.541622948755611</v>
      </c>
      <c r="P145" s="5">
        <f t="shared" si="22"/>
        <v>84.066067381541956</v>
      </c>
      <c r="Q145" s="5">
        <f t="shared" si="23"/>
        <v>15.933932618458051</v>
      </c>
    </row>
    <row r="146" spans="1:17" x14ac:dyDescent="0.2">
      <c r="A146" t="str">
        <f t="shared" si="16"/>
        <v>Kansas_2009</v>
      </c>
      <c r="B146" t="s">
        <v>21</v>
      </c>
      <c r="C146">
        <v>2009</v>
      </c>
      <c r="D146" s="3">
        <v>2793990</v>
      </c>
      <c r="E146" s="3">
        <v>2429989.9399999995</v>
      </c>
      <c r="F146" s="3">
        <v>363176.19700000004</v>
      </c>
      <c r="G146" s="3">
        <v>449</v>
      </c>
      <c r="H146" s="3">
        <v>0</v>
      </c>
      <c r="I146" s="3">
        <v>44.83214285714287</v>
      </c>
      <c r="J146" s="3">
        <v>34.674999999999997</v>
      </c>
      <c r="K146" s="3">
        <f t="shared" si="17"/>
        <v>449</v>
      </c>
      <c r="L146" s="5">
        <f t="shared" si="18"/>
        <v>0</v>
      </c>
      <c r="M146" s="5">
        <f t="shared" si="19"/>
        <v>123.63145043891737</v>
      </c>
      <c r="N146" s="5">
        <f t="shared" si="20"/>
        <v>16.070207838968642</v>
      </c>
      <c r="O146" s="5">
        <f t="shared" si="21"/>
        <v>16.070207838968642</v>
      </c>
      <c r="P146" s="5">
        <f t="shared" si="22"/>
        <v>86.972034259249298</v>
      </c>
      <c r="Q146" s="5">
        <f t="shared" si="23"/>
        <v>12.998478770503832</v>
      </c>
    </row>
    <row r="147" spans="1:17" x14ac:dyDescent="0.2">
      <c r="A147" t="str">
        <f t="shared" si="16"/>
        <v>Kansas_2010</v>
      </c>
      <c r="B147" t="s">
        <v>21</v>
      </c>
      <c r="C147">
        <v>2010</v>
      </c>
      <c r="D147" s="3">
        <v>2740733</v>
      </c>
      <c r="E147" s="3">
        <v>2383014.7180000003</v>
      </c>
      <c r="F147" s="3">
        <v>357937.53900000005</v>
      </c>
      <c r="G147" s="3">
        <v>402</v>
      </c>
      <c r="H147" s="3">
        <v>0</v>
      </c>
      <c r="I147" s="3">
        <v>55.089999999999996</v>
      </c>
      <c r="J147" s="3">
        <v>34.694736842105264</v>
      </c>
      <c r="K147" s="3">
        <f t="shared" si="17"/>
        <v>402</v>
      </c>
      <c r="L147" s="5">
        <f t="shared" si="18"/>
        <v>0</v>
      </c>
      <c r="M147" s="5">
        <f t="shared" si="19"/>
        <v>112.31009776820305</v>
      </c>
      <c r="N147" s="5">
        <f t="shared" si="20"/>
        <v>14.667608993652427</v>
      </c>
      <c r="O147" s="5">
        <f t="shared" si="21"/>
        <v>14.667608993652427</v>
      </c>
      <c r="P147" s="5">
        <f t="shared" si="22"/>
        <v>86.948079874982369</v>
      </c>
      <c r="Q147" s="5">
        <f t="shared" si="23"/>
        <v>13.059920065179645</v>
      </c>
    </row>
    <row r="148" spans="1:17" x14ac:dyDescent="0.2">
      <c r="A148" t="str">
        <f t="shared" si="16"/>
        <v>Kansas_2011</v>
      </c>
      <c r="B148" t="s">
        <v>21</v>
      </c>
      <c r="C148">
        <v>2011</v>
      </c>
      <c r="D148" s="3">
        <v>2931206</v>
      </c>
      <c r="E148" s="3">
        <v>2546491.4119999991</v>
      </c>
      <c r="F148" s="3">
        <v>384189.76000000013</v>
      </c>
      <c r="G148" s="3">
        <v>481</v>
      </c>
      <c r="H148" s="3">
        <v>0</v>
      </c>
      <c r="I148" s="3">
        <v>54.489999999999995</v>
      </c>
      <c r="J148" s="3">
        <v>32.53</v>
      </c>
      <c r="K148" s="3">
        <f t="shared" si="17"/>
        <v>481</v>
      </c>
      <c r="L148" s="5">
        <f t="shared" si="18"/>
        <v>0</v>
      </c>
      <c r="M148" s="5">
        <f t="shared" si="19"/>
        <v>125.19854771766948</v>
      </c>
      <c r="N148" s="5">
        <f t="shared" si="20"/>
        <v>16.409627982475474</v>
      </c>
      <c r="O148" s="5">
        <f t="shared" si="21"/>
        <v>16.409627982475474</v>
      </c>
      <c r="P148" s="5">
        <f t="shared" si="22"/>
        <v>86.87521149997643</v>
      </c>
      <c r="Q148" s="5">
        <f t="shared" si="23"/>
        <v>13.106883651302573</v>
      </c>
    </row>
    <row r="149" spans="1:17" x14ac:dyDescent="0.2">
      <c r="A149" t="str">
        <f t="shared" si="16"/>
        <v>Kansas_2012</v>
      </c>
      <c r="B149" t="s">
        <v>21</v>
      </c>
      <c r="C149">
        <v>2012</v>
      </c>
      <c r="D149" s="3">
        <v>2925322</v>
      </c>
      <c r="E149" s="3">
        <v>2536657.949</v>
      </c>
      <c r="F149" s="3">
        <v>390033.1860000001</v>
      </c>
      <c r="G149" s="3">
        <v>492</v>
      </c>
      <c r="H149" s="3">
        <v>0</v>
      </c>
      <c r="I149" s="3">
        <v>49.81</v>
      </c>
      <c r="J149" s="3">
        <v>30.284999999999989</v>
      </c>
      <c r="K149" s="3">
        <f t="shared" si="17"/>
        <v>492</v>
      </c>
      <c r="L149" s="5">
        <f t="shared" si="18"/>
        <v>0</v>
      </c>
      <c r="M149" s="5">
        <f t="shared" si="19"/>
        <v>126.14311234531716</v>
      </c>
      <c r="N149" s="5">
        <f t="shared" si="20"/>
        <v>16.818661330274068</v>
      </c>
      <c r="O149" s="5">
        <f t="shared" si="21"/>
        <v>16.818661330274068</v>
      </c>
      <c r="P149" s="5">
        <f t="shared" si="22"/>
        <v>86.7138027540216</v>
      </c>
      <c r="Q149" s="5">
        <f t="shared" si="23"/>
        <v>13.333000127849177</v>
      </c>
    </row>
    <row r="150" spans="1:17" x14ac:dyDescent="0.2">
      <c r="A150" t="str">
        <f t="shared" si="16"/>
        <v>Kansas_2013</v>
      </c>
      <c r="B150" t="s">
        <v>21</v>
      </c>
      <c r="C150">
        <v>2013</v>
      </c>
      <c r="D150" s="3">
        <v>2873594</v>
      </c>
      <c r="E150" s="3">
        <v>2481355.1399999992</v>
      </c>
      <c r="F150" s="3">
        <v>391314.73799999995</v>
      </c>
      <c r="G150" s="3">
        <v>537</v>
      </c>
      <c r="H150" s="3">
        <v>11</v>
      </c>
      <c r="I150" s="3">
        <v>49.510000000000005</v>
      </c>
      <c r="J150" s="3">
        <v>34.938095238095244</v>
      </c>
      <c r="K150" s="3">
        <f t="shared" si="17"/>
        <v>548</v>
      </c>
      <c r="L150" s="5">
        <f t="shared" si="18"/>
        <v>0.44330615245990157</v>
      </c>
      <c r="M150" s="5">
        <f t="shared" si="19"/>
        <v>137.22968951913077</v>
      </c>
      <c r="N150" s="5">
        <f t="shared" si="20"/>
        <v>19.070195720063449</v>
      </c>
      <c r="O150" s="5">
        <f t="shared" si="21"/>
        <v>19.070195720063449</v>
      </c>
      <c r="P150" s="5">
        <f t="shared" si="22"/>
        <v>86.350233888294554</v>
      </c>
      <c r="Q150" s="5">
        <f t="shared" si="23"/>
        <v>13.617607010593701</v>
      </c>
    </row>
    <row r="151" spans="1:17" x14ac:dyDescent="0.2">
      <c r="A151" t="str">
        <f t="shared" si="16"/>
        <v>Kansas_2014</v>
      </c>
      <c r="B151" t="s">
        <v>21</v>
      </c>
      <c r="C151">
        <v>2014</v>
      </c>
      <c r="D151" s="3">
        <v>2905975</v>
      </c>
      <c r="E151" s="3">
        <v>2504174.915000001</v>
      </c>
      <c r="F151" s="3">
        <v>401675.24199999991</v>
      </c>
      <c r="G151" s="3">
        <v>453</v>
      </c>
      <c r="H151" s="3">
        <v>12</v>
      </c>
      <c r="I151" s="3">
        <v>51.580000000000005</v>
      </c>
      <c r="J151" s="3">
        <v>36.015000000000001</v>
      </c>
      <c r="K151" s="3">
        <f t="shared" si="17"/>
        <v>465</v>
      </c>
      <c r="L151" s="5">
        <f t="shared" si="18"/>
        <v>0.47919975270577281</v>
      </c>
      <c r="M151" s="5">
        <f t="shared" si="19"/>
        <v>112.77767525437879</v>
      </c>
      <c r="N151" s="5">
        <f t="shared" si="20"/>
        <v>16.001514121766359</v>
      </c>
      <c r="O151" s="5">
        <f t="shared" si="21"/>
        <v>16.001514121766359</v>
      </c>
      <c r="P151" s="5">
        <f t="shared" si="22"/>
        <v>86.173312399452882</v>
      </c>
      <c r="Q151" s="5">
        <f t="shared" si="23"/>
        <v>13.822391520918107</v>
      </c>
    </row>
    <row r="152" spans="1:17" x14ac:dyDescent="0.2">
      <c r="A152" t="str">
        <f t="shared" si="16"/>
        <v>Kansas_2015</v>
      </c>
      <c r="B152" t="s">
        <v>21</v>
      </c>
      <c r="C152">
        <v>2015</v>
      </c>
      <c r="D152" s="3">
        <v>2985149</v>
      </c>
      <c r="E152" s="3">
        <v>2564354.8069999996</v>
      </c>
      <c r="F152" s="3">
        <v>421099.26600000006</v>
      </c>
      <c r="G152" s="3">
        <v>497</v>
      </c>
      <c r="H152" s="3">
        <v>0</v>
      </c>
      <c r="I152" s="3">
        <v>47.57</v>
      </c>
      <c r="J152" s="3">
        <v>33.138095238095239</v>
      </c>
      <c r="K152" s="3">
        <f t="shared" si="17"/>
        <v>497</v>
      </c>
      <c r="L152" s="5">
        <f t="shared" si="18"/>
        <v>0</v>
      </c>
      <c r="M152" s="5">
        <f t="shared" si="19"/>
        <v>118.02442799793432</v>
      </c>
      <c r="N152" s="5">
        <f t="shared" si="20"/>
        <v>16.649085188042541</v>
      </c>
      <c r="O152" s="5">
        <f t="shared" si="21"/>
        <v>16.649085188042541</v>
      </c>
      <c r="P152" s="5">
        <f t="shared" si="22"/>
        <v>85.903745742674815</v>
      </c>
      <c r="Q152" s="5">
        <f t="shared" si="23"/>
        <v>14.106473948201584</v>
      </c>
    </row>
    <row r="153" spans="1:17" x14ac:dyDescent="0.2">
      <c r="A153" t="str">
        <f t="shared" si="16"/>
        <v>Kansas_2016</v>
      </c>
      <c r="B153" t="s">
        <v>21</v>
      </c>
      <c r="C153">
        <v>2016</v>
      </c>
      <c r="D153" s="3">
        <v>2919733</v>
      </c>
      <c r="E153" s="3">
        <v>2503523.5339999995</v>
      </c>
      <c r="F153" s="3">
        <v>417967.14099999989</v>
      </c>
      <c r="G153" s="3">
        <v>384</v>
      </c>
      <c r="H153" s="3">
        <v>0</v>
      </c>
      <c r="I153" s="3">
        <v>43.3</v>
      </c>
      <c r="J153" s="3">
        <v>34.204999999999998</v>
      </c>
      <c r="K153" s="3">
        <f t="shared" si="17"/>
        <v>384</v>
      </c>
      <c r="L153" s="5">
        <f t="shared" si="18"/>
        <v>0</v>
      </c>
      <c r="M153" s="5">
        <f t="shared" si="19"/>
        <v>91.873250868780644</v>
      </c>
      <c r="N153" s="5">
        <f t="shared" si="20"/>
        <v>13.151887518481997</v>
      </c>
      <c r="O153" s="5">
        <f t="shared" si="21"/>
        <v>13.151887518481997</v>
      </c>
      <c r="P153" s="5">
        <f t="shared" si="22"/>
        <v>85.744947705834733</v>
      </c>
      <c r="Q153" s="5">
        <f t="shared" si="23"/>
        <v>14.315252148055999</v>
      </c>
    </row>
    <row r="154" spans="1:17" x14ac:dyDescent="0.2">
      <c r="A154" t="str">
        <f t="shared" si="16"/>
        <v>Kansas_2017</v>
      </c>
      <c r="B154" t="s">
        <v>21</v>
      </c>
      <c r="C154">
        <v>2017</v>
      </c>
      <c r="D154" s="3">
        <v>2961871</v>
      </c>
      <c r="E154" s="3">
        <v>2520611</v>
      </c>
      <c r="F154" s="3">
        <v>441260</v>
      </c>
      <c r="G154" s="3">
        <v>404</v>
      </c>
      <c r="H154" s="3">
        <v>0</v>
      </c>
      <c r="I154" s="3">
        <v>41.090909090909093</v>
      </c>
      <c r="J154" s="3">
        <v>31.95</v>
      </c>
      <c r="K154" s="3">
        <f t="shared" si="17"/>
        <v>404</v>
      </c>
      <c r="L154" s="5">
        <f t="shared" si="18"/>
        <v>0</v>
      </c>
      <c r="M154" s="5">
        <f t="shared" si="19"/>
        <v>91.55599873090695</v>
      </c>
      <c r="N154" s="5">
        <f t="shared" si="20"/>
        <v>13.640026861399434</v>
      </c>
      <c r="O154" s="5">
        <f t="shared" si="21"/>
        <v>13.640026861399434</v>
      </c>
      <c r="P154" s="5">
        <f t="shared" si="22"/>
        <v>85.101984522621009</v>
      </c>
      <c r="Q154" s="5">
        <f t="shared" si="23"/>
        <v>14.898015477378996</v>
      </c>
    </row>
    <row r="155" spans="1:17" x14ac:dyDescent="0.2">
      <c r="A155" t="str">
        <f t="shared" si="16"/>
        <v>Kentucky_2009</v>
      </c>
      <c r="B155" t="s">
        <v>22</v>
      </c>
      <c r="C155">
        <v>2009</v>
      </c>
      <c r="D155" s="3">
        <v>4318288</v>
      </c>
      <c r="E155" s="3">
        <v>3758508.7450000001</v>
      </c>
      <c r="F155" s="3">
        <v>559355.30500000005</v>
      </c>
      <c r="G155" s="3">
        <v>794</v>
      </c>
      <c r="H155" s="3">
        <v>34</v>
      </c>
      <c r="I155" s="3">
        <v>45.3</v>
      </c>
      <c r="J155" s="3">
        <v>34.500000000000007</v>
      </c>
      <c r="K155" s="3">
        <f t="shared" si="17"/>
        <v>828</v>
      </c>
      <c r="L155" s="5">
        <f t="shared" si="18"/>
        <v>0.90461409848336005</v>
      </c>
      <c r="M155" s="5">
        <f t="shared" si="19"/>
        <v>141.94913195647621</v>
      </c>
      <c r="N155" s="5">
        <f t="shared" si="20"/>
        <v>19.174265357011851</v>
      </c>
      <c r="O155" s="5">
        <f t="shared" si="21"/>
        <v>19.174265357011851</v>
      </c>
      <c r="P155" s="5">
        <f t="shared" si="22"/>
        <v>87.037009689951205</v>
      </c>
      <c r="Q155" s="5">
        <f t="shared" si="23"/>
        <v>12.953172761983453</v>
      </c>
    </row>
    <row r="156" spans="1:17" x14ac:dyDescent="0.2">
      <c r="A156" t="str">
        <f t="shared" si="16"/>
        <v>Kentucky_2010</v>
      </c>
      <c r="B156" t="s">
        <v>22</v>
      </c>
      <c r="C156">
        <v>2010</v>
      </c>
      <c r="D156" s="3">
        <v>4178330</v>
      </c>
      <c r="E156" s="3">
        <v>3630692.1770000006</v>
      </c>
      <c r="F156" s="3">
        <v>547779.83000000007</v>
      </c>
      <c r="G156" s="3">
        <v>734</v>
      </c>
      <c r="H156" s="3">
        <v>11</v>
      </c>
      <c r="I156" s="3">
        <v>54.56</v>
      </c>
      <c r="J156" s="3">
        <v>33.730000000000004</v>
      </c>
      <c r="K156" s="3">
        <f t="shared" si="17"/>
        <v>745</v>
      </c>
      <c r="L156" s="5">
        <f t="shared" si="18"/>
        <v>0.30297253151020842</v>
      </c>
      <c r="M156" s="5">
        <f t="shared" si="19"/>
        <v>133.99544119760668</v>
      </c>
      <c r="N156" s="5">
        <f t="shared" si="20"/>
        <v>17.830090012038301</v>
      </c>
      <c r="O156" s="5">
        <f t="shared" si="21"/>
        <v>17.830090012038301</v>
      </c>
      <c r="P156" s="5">
        <f t="shared" si="22"/>
        <v>86.893380297870209</v>
      </c>
      <c r="Q156" s="5">
        <f t="shared" si="23"/>
        <v>13.110018356616163</v>
      </c>
    </row>
    <row r="157" spans="1:17" x14ac:dyDescent="0.2">
      <c r="A157" t="str">
        <f t="shared" si="16"/>
        <v>Kentucky_2011</v>
      </c>
      <c r="B157" t="s">
        <v>22</v>
      </c>
      <c r="C157">
        <v>2011</v>
      </c>
      <c r="D157" s="3">
        <v>4295103</v>
      </c>
      <c r="E157" s="3">
        <v>3722742.3040000019</v>
      </c>
      <c r="F157" s="3">
        <v>573694.60699999996</v>
      </c>
      <c r="G157" s="3">
        <v>743</v>
      </c>
      <c r="H157" s="3">
        <v>57</v>
      </c>
      <c r="I157" s="3">
        <v>50.86</v>
      </c>
      <c r="J157" s="3">
        <v>32.085000000000001</v>
      </c>
      <c r="K157" s="3">
        <f t="shared" si="17"/>
        <v>800</v>
      </c>
      <c r="L157" s="5">
        <f t="shared" si="18"/>
        <v>1.531129348887641</v>
      </c>
      <c r="M157" s="5">
        <f t="shared" si="19"/>
        <v>129.51141442401601</v>
      </c>
      <c r="N157" s="5">
        <f t="shared" si="20"/>
        <v>18.625862988617502</v>
      </c>
      <c r="O157" s="5">
        <f t="shared" si="21"/>
        <v>18.625862988617502</v>
      </c>
      <c r="P157" s="5">
        <f t="shared" si="22"/>
        <v>86.674110120292852</v>
      </c>
      <c r="Q157" s="5">
        <f t="shared" si="23"/>
        <v>13.356946434113453</v>
      </c>
    </row>
    <row r="158" spans="1:17" x14ac:dyDescent="0.2">
      <c r="A158" t="str">
        <f t="shared" si="16"/>
        <v>Kentucky_2012</v>
      </c>
      <c r="B158" t="s">
        <v>22</v>
      </c>
      <c r="C158">
        <v>2012</v>
      </c>
      <c r="D158" s="3">
        <v>4353333</v>
      </c>
      <c r="E158" s="3">
        <v>3762930.8050000002</v>
      </c>
      <c r="F158" s="3">
        <v>590100.2350000001</v>
      </c>
      <c r="G158" s="3">
        <v>691</v>
      </c>
      <c r="H158" s="3">
        <v>23</v>
      </c>
      <c r="I158" s="3">
        <v>48.68181818181818</v>
      </c>
      <c r="J158" s="3">
        <v>35.374999999999993</v>
      </c>
      <c r="K158" s="3">
        <f t="shared" si="17"/>
        <v>714</v>
      </c>
      <c r="L158" s="5">
        <f t="shared" si="18"/>
        <v>0.61122569592400455</v>
      </c>
      <c r="M158" s="5">
        <f t="shared" si="19"/>
        <v>117.0987501809756</v>
      </c>
      <c r="N158" s="5">
        <f t="shared" si="20"/>
        <v>16.401226370691145</v>
      </c>
      <c r="O158" s="5">
        <f t="shared" si="21"/>
        <v>16.401226370691145</v>
      </c>
      <c r="P158" s="5">
        <f t="shared" si="22"/>
        <v>86.437927100913257</v>
      </c>
      <c r="Q158" s="5">
        <f t="shared" si="23"/>
        <v>13.555136604528073</v>
      </c>
    </row>
    <row r="159" spans="1:17" x14ac:dyDescent="0.2">
      <c r="A159" t="str">
        <f t="shared" si="16"/>
        <v>Kentucky_2013</v>
      </c>
      <c r="B159" t="s">
        <v>22</v>
      </c>
      <c r="C159">
        <v>2013</v>
      </c>
      <c r="D159" s="3">
        <v>4383424</v>
      </c>
      <c r="E159" s="3">
        <v>3780364.1319999988</v>
      </c>
      <c r="F159" s="3">
        <v>605149.05800000008</v>
      </c>
      <c r="G159" s="3">
        <v>736</v>
      </c>
      <c r="H159" s="3">
        <v>21</v>
      </c>
      <c r="I159" s="3">
        <v>56.330000000000005</v>
      </c>
      <c r="J159" s="3">
        <v>32.4</v>
      </c>
      <c r="K159" s="3">
        <f t="shared" si="17"/>
        <v>757</v>
      </c>
      <c r="L159" s="5">
        <f t="shared" si="18"/>
        <v>0.55550204336771036</v>
      </c>
      <c r="M159" s="5">
        <f t="shared" si="19"/>
        <v>121.6229274870655</v>
      </c>
      <c r="N159" s="5">
        <f t="shared" si="20"/>
        <v>17.269604765589637</v>
      </c>
      <c r="O159" s="5">
        <f t="shared" si="21"/>
        <v>17.269604765589637</v>
      </c>
      <c r="P159" s="5">
        <f t="shared" si="22"/>
        <v>86.242264768363697</v>
      </c>
      <c r="Q159" s="5">
        <f t="shared" si="23"/>
        <v>13.805396375071179</v>
      </c>
    </row>
    <row r="160" spans="1:17" x14ac:dyDescent="0.2">
      <c r="A160" t="str">
        <f t="shared" si="16"/>
        <v>Kentucky_2014</v>
      </c>
      <c r="B160" t="s">
        <v>22</v>
      </c>
      <c r="C160">
        <v>2014</v>
      </c>
      <c r="D160" s="3">
        <v>4391453</v>
      </c>
      <c r="E160" s="3">
        <v>3770533.669999999</v>
      </c>
      <c r="F160" s="3">
        <v>621030.34199999995</v>
      </c>
      <c r="G160" s="3">
        <v>785</v>
      </c>
      <c r="H160" s="3">
        <v>75</v>
      </c>
      <c r="I160" s="3">
        <v>57.29</v>
      </c>
      <c r="J160" s="3">
        <v>36.873684210526321</v>
      </c>
      <c r="K160" s="3">
        <f t="shared" si="17"/>
        <v>860</v>
      </c>
      <c r="L160" s="5">
        <f t="shared" si="18"/>
        <v>1.9891083481559262</v>
      </c>
      <c r="M160" s="5">
        <f t="shared" si="19"/>
        <v>126.40284168273378</v>
      </c>
      <c r="N160" s="5">
        <f t="shared" si="20"/>
        <v>19.583495485435002</v>
      </c>
      <c r="O160" s="5">
        <f t="shared" si="21"/>
        <v>19.583495485435002</v>
      </c>
      <c r="P160" s="5">
        <f t="shared" si="22"/>
        <v>85.860731516425176</v>
      </c>
      <c r="Q160" s="5">
        <f t="shared" si="23"/>
        <v>14.141796394040879</v>
      </c>
    </row>
    <row r="161" spans="1:17" x14ac:dyDescent="0.2">
      <c r="A161" t="str">
        <f t="shared" si="16"/>
        <v>Kentucky_2015</v>
      </c>
      <c r="B161" t="s">
        <v>22</v>
      </c>
      <c r="C161">
        <v>2015</v>
      </c>
      <c r="D161" s="3">
        <v>4777819</v>
      </c>
      <c r="E161" s="3">
        <v>4076032.6339999987</v>
      </c>
      <c r="F161" s="3">
        <v>701286.99300000048</v>
      </c>
      <c r="G161" s="3">
        <v>779</v>
      </c>
      <c r="H161" s="3">
        <v>56</v>
      </c>
      <c r="I161" s="3">
        <v>50.76</v>
      </c>
      <c r="J161" s="3">
        <v>31.3904761904762</v>
      </c>
      <c r="K161" s="3">
        <f t="shared" si="17"/>
        <v>835</v>
      </c>
      <c r="L161" s="5">
        <f t="shared" si="18"/>
        <v>1.3738849766039438</v>
      </c>
      <c r="M161" s="5">
        <f t="shared" si="19"/>
        <v>111.08148415352107</v>
      </c>
      <c r="N161" s="5">
        <f t="shared" si="20"/>
        <v>17.476593399624388</v>
      </c>
      <c r="O161" s="5">
        <f t="shared" si="21"/>
        <v>17.476593399624388</v>
      </c>
      <c r="P161" s="5">
        <f t="shared" si="22"/>
        <v>85.311574883853879</v>
      </c>
      <c r="Q161" s="5">
        <f t="shared" si="23"/>
        <v>14.677973213300891</v>
      </c>
    </row>
    <row r="162" spans="1:17" x14ac:dyDescent="0.2">
      <c r="A162" t="str">
        <f t="shared" si="16"/>
        <v>Kentucky_2016</v>
      </c>
      <c r="B162" t="s">
        <v>22</v>
      </c>
      <c r="C162">
        <v>2016</v>
      </c>
      <c r="D162" s="3">
        <v>4572329</v>
      </c>
      <c r="E162" s="3">
        <v>3885056.3260000017</v>
      </c>
      <c r="F162" s="3">
        <v>687255.48500000057</v>
      </c>
      <c r="G162" s="3">
        <v>691</v>
      </c>
      <c r="H162" s="3">
        <v>53</v>
      </c>
      <c r="I162" s="3">
        <v>48.72</v>
      </c>
      <c r="J162" s="3">
        <v>29.486363636363635</v>
      </c>
      <c r="K162" s="3">
        <f t="shared" si="17"/>
        <v>744</v>
      </c>
      <c r="L162" s="5">
        <f t="shared" si="18"/>
        <v>1.3642015855808207</v>
      </c>
      <c r="M162" s="5">
        <f t="shared" si="19"/>
        <v>100.54485050781362</v>
      </c>
      <c r="N162" s="5">
        <f t="shared" si="20"/>
        <v>16.271794964885508</v>
      </c>
      <c r="O162" s="5">
        <f t="shared" si="21"/>
        <v>16.271794964885508</v>
      </c>
      <c r="P162" s="5">
        <f t="shared" si="22"/>
        <v>84.968870918956213</v>
      </c>
      <c r="Q162" s="5">
        <f t="shared" si="23"/>
        <v>15.030753145716341</v>
      </c>
    </row>
    <row r="163" spans="1:17" x14ac:dyDescent="0.2">
      <c r="A163" t="str">
        <f t="shared" si="16"/>
        <v>Kentucky_2017</v>
      </c>
      <c r="B163" t="s">
        <v>22</v>
      </c>
      <c r="C163">
        <v>2017</v>
      </c>
      <c r="D163" s="3">
        <v>4501623</v>
      </c>
      <c r="E163" s="3">
        <v>3807086</v>
      </c>
      <c r="F163" s="3">
        <v>694537</v>
      </c>
      <c r="G163" s="3">
        <v>724</v>
      </c>
      <c r="H163" s="3">
        <v>39</v>
      </c>
      <c r="I163" s="3">
        <v>49.239999999999995</v>
      </c>
      <c r="J163" s="3">
        <v>31.638095238095232</v>
      </c>
      <c r="K163" s="3">
        <f t="shared" si="17"/>
        <v>763</v>
      </c>
      <c r="L163" s="5">
        <f t="shared" si="18"/>
        <v>1.0244055427169232</v>
      </c>
      <c r="M163" s="5">
        <f t="shared" si="19"/>
        <v>104.24210661203075</v>
      </c>
      <c r="N163" s="5">
        <f t="shared" si="20"/>
        <v>16.94944245664286</v>
      </c>
      <c r="O163" s="5">
        <f t="shared" si="21"/>
        <v>16.94944245664286</v>
      </c>
      <c r="P163" s="5">
        <f t="shared" si="22"/>
        <v>84.571409022923504</v>
      </c>
      <c r="Q163" s="5">
        <f t="shared" si="23"/>
        <v>15.428590977076489</v>
      </c>
    </row>
    <row r="164" spans="1:17" x14ac:dyDescent="0.2">
      <c r="A164" t="str">
        <f t="shared" si="16"/>
        <v>Louisiana_2009</v>
      </c>
      <c r="B164" t="s">
        <v>23</v>
      </c>
      <c r="C164">
        <v>2009</v>
      </c>
      <c r="D164" s="3">
        <v>4437074</v>
      </c>
      <c r="E164" s="3">
        <v>3899813.9620000003</v>
      </c>
      <c r="F164" s="3">
        <v>538365.92599999986</v>
      </c>
      <c r="G164" s="3">
        <v>661</v>
      </c>
      <c r="H164" s="3">
        <v>0</v>
      </c>
      <c r="I164" s="3">
        <v>45.08461538461539</v>
      </c>
      <c r="J164" s="3">
        <v>36.484615384615388</v>
      </c>
      <c r="K164" s="3">
        <f t="shared" si="17"/>
        <v>661</v>
      </c>
      <c r="L164" s="5">
        <f t="shared" si="18"/>
        <v>0</v>
      </c>
      <c r="M164" s="5">
        <f t="shared" si="19"/>
        <v>122.77894422315283</v>
      </c>
      <c r="N164" s="5">
        <f t="shared" si="20"/>
        <v>14.897204779546161</v>
      </c>
      <c r="O164" s="5">
        <f t="shared" si="21"/>
        <v>14.897204779546161</v>
      </c>
      <c r="P164" s="5">
        <f t="shared" si="22"/>
        <v>87.891569128664528</v>
      </c>
      <c r="Q164" s="5">
        <f t="shared" si="23"/>
        <v>12.133354683739777</v>
      </c>
    </row>
    <row r="165" spans="1:17" x14ac:dyDescent="0.2">
      <c r="A165" t="str">
        <f t="shared" si="16"/>
        <v>Louisiana_2010</v>
      </c>
      <c r="B165" t="s">
        <v>23</v>
      </c>
      <c r="C165">
        <v>2010</v>
      </c>
      <c r="D165" s="3">
        <v>4490871</v>
      </c>
      <c r="E165" s="3">
        <v>3944107.9440000006</v>
      </c>
      <c r="F165" s="3">
        <v>547486.32799999975</v>
      </c>
      <c r="G165" s="3">
        <v>707</v>
      </c>
      <c r="H165" s="3">
        <v>11</v>
      </c>
      <c r="I165" s="3">
        <v>54.46</v>
      </c>
      <c r="J165" s="3">
        <v>32.014999999999993</v>
      </c>
      <c r="K165" s="3">
        <f t="shared" si="17"/>
        <v>718</v>
      </c>
      <c r="L165" s="5">
        <f t="shared" si="18"/>
        <v>0.27889703213457484</v>
      </c>
      <c r="M165" s="5">
        <f t="shared" si="19"/>
        <v>129.13564482654996</v>
      </c>
      <c r="N165" s="5">
        <f t="shared" si="20"/>
        <v>15.987989857646768</v>
      </c>
      <c r="O165" s="5">
        <f t="shared" si="21"/>
        <v>15.987989857646768</v>
      </c>
      <c r="P165" s="5">
        <f t="shared" si="22"/>
        <v>87.825010872055785</v>
      </c>
      <c r="Q165" s="5">
        <f t="shared" si="23"/>
        <v>12.191094511510123</v>
      </c>
    </row>
    <row r="166" spans="1:17" x14ac:dyDescent="0.2">
      <c r="A166" t="str">
        <f t="shared" si="16"/>
        <v>Louisiana_2011</v>
      </c>
      <c r="B166" t="s">
        <v>23</v>
      </c>
      <c r="C166">
        <v>2011</v>
      </c>
      <c r="D166" s="3">
        <v>4539451</v>
      </c>
      <c r="E166" s="3">
        <v>3980981.7600000007</v>
      </c>
      <c r="F166" s="3">
        <v>558877.22100000025</v>
      </c>
      <c r="G166" s="3">
        <v>618</v>
      </c>
      <c r="H166" s="3">
        <v>38</v>
      </c>
      <c r="I166" s="3">
        <v>54.320000000000007</v>
      </c>
      <c r="J166" s="3">
        <v>33.049999999999997</v>
      </c>
      <c r="K166" s="3">
        <f t="shared" si="17"/>
        <v>656</v>
      </c>
      <c r="L166" s="5">
        <f t="shared" si="18"/>
        <v>0.95453841014333096</v>
      </c>
      <c r="M166" s="5">
        <f t="shared" si="19"/>
        <v>110.57884930328905</v>
      </c>
      <c r="N166" s="5">
        <f t="shared" si="20"/>
        <v>14.451086706299948</v>
      </c>
      <c r="O166" s="5">
        <f t="shared" si="21"/>
        <v>14.451086706299948</v>
      </c>
      <c r="P166" s="5">
        <f t="shared" si="22"/>
        <v>87.697427728595386</v>
      </c>
      <c r="Q166" s="5">
        <f t="shared" si="23"/>
        <v>12.311559723852076</v>
      </c>
    </row>
    <row r="167" spans="1:17" x14ac:dyDescent="0.2">
      <c r="A167" t="str">
        <f t="shared" si="16"/>
        <v>Louisiana_2012</v>
      </c>
      <c r="B167" t="s">
        <v>23</v>
      </c>
      <c r="C167">
        <v>2012</v>
      </c>
      <c r="D167" s="3">
        <v>4722489</v>
      </c>
      <c r="E167" s="3">
        <v>4132586.8560000011</v>
      </c>
      <c r="F167" s="3">
        <v>589849.33699999982</v>
      </c>
      <c r="G167" s="3">
        <v>600</v>
      </c>
      <c r="H167" s="3">
        <v>12</v>
      </c>
      <c r="I167" s="3">
        <v>50.33</v>
      </c>
      <c r="J167" s="3">
        <v>32.261904761904759</v>
      </c>
      <c r="K167" s="3">
        <f t="shared" si="17"/>
        <v>612</v>
      </c>
      <c r="L167" s="5">
        <f t="shared" si="18"/>
        <v>0.29037502218682948</v>
      </c>
      <c r="M167" s="5">
        <f t="shared" si="19"/>
        <v>101.72089080435811</v>
      </c>
      <c r="N167" s="5">
        <f t="shared" si="20"/>
        <v>12.959267877595904</v>
      </c>
      <c r="O167" s="5">
        <f t="shared" si="21"/>
        <v>12.959267877595904</v>
      </c>
      <c r="P167" s="5">
        <f t="shared" si="22"/>
        <v>87.508660284862515</v>
      </c>
      <c r="Q167" s="5">
        <f t="shared" si="23"/>
        <v>12.490221512427023</v>
      </c>
    </row>
    <row r="168" spans="1:17" x14ac:dyDescent="0.2">
      <c r="A168" t="str">
        <f t="shared" si="16"/>
        <v>Louisiana_2013</v>
      </c>
      <c r="B168" t="s">
        <v>23</v>
      </c>
      <c r="C168">
        <v>2013</v>
      </c>
      <c r="D168" s="3">
        <v>4472031</v>
      </c>
      <c r="E168" s="3">
        <v>3903951.452</v>
      </c>
      <c r="F168" s="3">
        <v>569229.04399999976</v>
      </c>
      <c r="G168" s="3">
        <v>636</v>
      </c>
      <c r="H168" s="3">
        <v>94</v>
      </c>
      <c r="I168" s="3">
        <v>49.86</v>
      </c>
      <c r="J168" s="3">
        <v>32.214285714285722</v>
      </c>
      <c r="K168" s="3">
        <f t="shared" si="17"/>
        <v>730</v>
      </c>
      <c r="L168" s="5">
        <f t="shared" si="18"/>
        <v>2.4078168275336433</v>
      </c>
      <c r="M168" s="5">
        <f t="shared" si="19"/>
        <v>111.73006836242885</v>
      </c>
      <c r="N168" s="5">
        <f t="shared" si="20"/>
        <v>16.323679330487646</v>
      </c>
      <c r="O168" s="5">
        <f t="shared" si="21"/>
        <v>16.323679330487646</v>
      </c>
      <c r="P168" s="5">
        <f t="shared" si="22"/>
        <v>87.297057019506354</v>
      </c>
      <c r="Q168" s="5">
        <f t="shared" si="23"/>
        <v>12.728647095693205</v>
      </c>
    </row>
    <row r="169" spans="1:17" x14ac:dyDescent="0.2">
      <c r="A169" t="str">
        <f t="shared" si="16"/>
        <v>Louisiana_2014</v>
      </c>
      <c r="B169" t="s">
        <v>23</v>
      </c>
      <c r="C169">
        <v>2014</v>
      </c>
      <c r="D169" s="3">
        <v>4714491</v>
      </c>
      <c r="E169" s="3">
        <v>4091025.6550000007</v>
      </c>
      <c r="F169" s="3">
        <v>624208.65099999972</v>
      </c>
      <c r="G169" s="3">
        <v>568</v>
      </c>
      <c r="H169" s="3">
        <v>97</v>
      </c>
      <c r="I169" s="3">
        <v>44.000000000000007</v>
      </c>
      <c r="J169" s="3">
        <v>33.9</v>
      </c>
      <c r="K169" s="3">
        <f t="shared" si="17"/>
        <v>665</v>
      </c>
      <c r="L169" s="5">
        <f t="shared" si="18"/>
        <v>2.3710435519133886</v>
      </c>
      <c r="M169" s="5">
        <f t="shared" si="19"/>
        <v>90.995214355015435</v>
      </c>
      <c r="N169" s="5">
        <f t="shared" si="20"/>
        <v>14.105446377986508</v>
      </c>
      <c r="O169" s="5">
        <f t="shared" si="21"/>
        <v>14.105446377986508</v>
      </c>
      <c r="P169" s="5">
        <f t="shared" si="22"/>
        <v>86.77555339484158</v>
      </c>
      <c r="Q169" s="5">
        <f t="shared" si="23"/>
        <v>13.240213015572619</v>
      </c>
    </row>
    <row r="170" spans="1:17" x14ac:dyDescent="0.2">
      <c r="A170" t="str">
        <f t="shared" si="16"/>
        <v>Louisiana_2015</v>
      </c>
      <c r="B170" t="s">
        <v>23</v>
      </c>
      <c r="C170">
        <v>2015</v>
      </c>
      <c r="D170" s="3">
        <v>4572767</v>
      </c>
      <c r="E170" s="3">
        <v>3956806.8730000006</v>
      </c>
      <c r="F170" s="3">
        <v>613656.201</v>
      </c>
      <c r="G170" s="3">
        <v>543</v>
      </c>
      <c r="H170" s="3">
        <v>26</v>
      </c>
      <c r="I170" s="3">
        <v>42.589999999999996</v>
      </c>
      <c r="J170" s="3">
        <v>32.734999999999999</v>
      </c>
      <c r="K170" s="3">
        <f t="shared" si="17"/>
        <v>569</v>
      </c>
      <c r="L170" s="5">
        <f t="shared" si="18"/>
        <v>0.65709550237126257</v>
      </c>
      <c r="M170" s="5">
        <f t="shared" si="19"/>
        <v>88.486028351891449</v>
      </c>
      <c r="N170" s="5">
        <f t="shared" si="20"/>
        <v>12.443231855023445</v>
      </c>
      <c r="O170" s="5">
        <f t="shared" si="21"/>
        <v>12.443231855023445</v>
      </c>
      <c r="P170" s="5">
        <f t="shared" si="22"/>
        <v>86.529816039172786</v>
      </c>
      <c r="Q170" s="5">
        <f t="shared" si="23"/>
        <v>13.419800330959349</v>
      </c>
    </row>
    <row r="171" spans="1:17" x14ac:dyDescent="0.2">
      <c r="A171" t="str">
        <f t="shared" si="16"/>
        <v>Louisiana_2016</v>
      </c>
      <c r="B171" t="s">
        <v>23</v>
      </c>
      <c r="C171">
        <v>2016</v>
      </c>
      <c r="D171" s="3">
        <v>4956698</v>
      </c>
      <c r="E171" s="3">
        <v>4236746.6459999988</v>
      </c>
      <c r="F171" s="3">
        <v>718115.64300000027</v>
      </c>
      <c r="G171" s="3">
        <v>509</v>
      </c>
      <c r="H171" s="3">
        <v>31</v>
      </c>
      <c r="I171" s="3">
        <v>41.179999999999993</v>
      </c>
      <c r="J171" s="3">
        <v>30.504761904761907</v>
      </c>
      <c r="K171" s="3">
        <f t="shared" si="17"/>
        <v>540</v>
      </c>
      <c r="L171" s="5">
        <f t="shared" si="18"/>
        <v>0.73169350424264223</v>
      </c>
      <c r="M171" s="5">
        <f t="shared" si="19"/>
        <v>70.87994878841539</v>
      </c>
      <c r="N171" s="5">
        <f t="shared" si="20"/>
        <v>10.894349423749439</v>
      </c>
      <c r="O171" s="5">
        <f t="shared" si="21"/>
        <v>10.894349423749439</v>
      </c>
      <c r="P171" s="5">
        <f t="shared" si="22"/>
        <v>85.475182187819371</v>
      </c>
      <c r="Q171" s="5">
        <f t="shared" si="23"/>
        <v>14.487782854634279</v>
      </c>
    </row>
    <row r="172" spans="1:17" x14ac:dyDescent="0.2">
      <c r="A172" t="str">
        <f t="shared" si="16"/>
        <v>Louisiana_2017</v>
      </c>
      <c r="B172" t="s">
        <v>23</v>
      </c>
      <c r="C172">
        <v>2017</v>
      </c>
      <c r="D172" s="3">
        <v>4444334</v>
      </c>
      <c r="E172" s="3">
        <v>3819202</v>
      </c>
      <c r="F172" s="3">
        <v>625132</v>
      </c>
      <c r="G172" s="3">
        <v>570</v>
      </c>
      <c r="H172" s="3">
        <v>58</v>
      </c>
      <c r="I172" s="3">
        <v>35.888888888888886</v>
      </c>
      <c r="J172" s="3">
        <v>29.330000000000002</v>
      </c>
      <c r="K172" s="3">
        <f t="shared" si="17"/>
        <v>628</v>
      </c>
      <c r="L172" s="5">
        <f t="shared" si="18"/>
        <v>1.5186418524079113</v>
      </c>
      <c r="M172" s="5">
        <f t="shared" si="19"/>
        <v>91.180742627157144</v>
      </c>
      <c r="N172" s="5">
        <f t="shared" si="20"/>
        <v>14.130351139225809</v>
      </c>
      <c r="O172" s="5">
        <f t="shared" si="21"/>
        <v>14.130351139225809</v>
      </c>
      <c r="P172" s="5">
        <f t="shared" si="22"/>
        <v>85.934180464384539</v>
      </c>
      <c r="Q172" s="5">
        <f t="shared" si="23"/>
        <v>14.065819535615459</v>
      </c>
    </row>
    <row r="173" spans="1:17" x14ac:dyDescent="0.2">
      <c r="A173" t="str">
        <f t="shared" si="16"/>
        <v>Maine_2009</v>
      </c>
      <c r="B173" t="s">
        <v>24</v>
      </c>
      <c r="C173">
        <v>2009</v>
      </c>
      <c r="D173" s="3">
        <v>1316380</v>
      </c>
      <c r="E173" s="3">
        <v>1119330.628</v>
      </c>
      <c r="F173" s="3">
        <v>197784.86700000003</v>
      </c>
      <c r="G173" s="3">
        <v>81</v>
      </c>
      <c r="H173" s="3">
        <v>0</v>
      </c>
      <c r="I173" s="3">
        <v>51.630769230769225</v>
      </c>
      <c r="J173" s="3">
        <v>52.867857142857154</v>
      </c>
      <c r="K173" s="3">
        <f t="shared" si="17"/>
        <v>81</v>
      </c>
      <c r="L173" s="5">
        <f t="shared" si="18"/>
        <v>0</v>
      </c>
      <c r="M173" s="5">
        <f t="shared" si="19"/>
        <v>40.953588223713794</v>
      </c>
      <c r="N173" s="5">
        <f t="shared" si="20"/>
        <v>6.1532384265941449</v>
      </c>
      <c r="O173" s="5">
        <f t="shared" si="21"/>
        <v>6.1532384265941449</v>
      </c>
      <c r="P173" s="5">
        <f t="shared" si="22"/>
        <v>85.030965830535251</v>
      </c>
      <c r="Q173" s="5">
        <f t="shared" si="23"/>
        <v>15.024906713866818</v>
      </c>
    </row>
    <row r="174" spans="1:17" x14ac:dyDescent="0.2">
      <c r="A174" t="str">
        <f t="shared" si="16"/>
        <v>Maine_2010</v>
      </c>
      <c r="B174" t="s">
        <v>24</v>
      </c>
      <c r="C174">
        <v>2010</v>
      </c>
      <c r="D174" s="3">
        <v>1327665</v>
      </c>
      <c r="E174" s="3">
        <v>1124619.4279999998</v>
      </c>
      <c r="F174" s="3">
        <v>203415.77200000003</v>
      </c>
      <c r="G174" s="3">
        <v>100</v>
      </c>
      <c r="H174" s="3">
        <v>0</v>
      </c>
      <c r="I174" s="3">
        <v>49.519999999999996</v>
      </c>
      <c r="J174" s="3">
        <v>37.868421052631575</v>
      </c>
      <c r="K174" s="3">
        <f t="shared" si="17"/>
        <v>100</v>
      </c>
      <c r="L174" s="5">
        <f t="shared" si="18"/>
        <v>0</v>
      </c>
      <c r="M174" s="5">
        <f t="shared" si="19"/>
        <v>49.160396471125146</v>
      </c>
      <c r="N174" s="5">
        <f t="shared" si="20"/>
        <v>7.5320205021598063</v>
      </c>
      <c r="O174" s="5">
        <f t="shared" si="21"/>
        <v>7.5320205021598063</v>
      </c>
      <c r="P174" s="5">
        <f t="shared" si="22"/>
        <v>84.706565888232333</v>
      </c>
      <c r="Q174" s="5">
        <f t="shared" si="23"/>
        <v>15.32131765166665</v>
      </c>
    </row>
    <row r="175" spans="1:17" x14ac:dyDescent="0.2">
      <c r="A175" t="str">
        <f t="shared" si="16"/>
        <v>Maine_2011</v>
      </c>
      <c r="B175" t="s">
        <v>24</v>
      </c>
      <c r="C175">
        <v>2011</v>
      </c>
      <c r="D175" s="3">
        <v>1417781</v>
      </c>
      <c r="E175" s="3">
        <v>1198426.9139999999</v>
      </c>
      <c r="F175" s="3">
        <v>219819.08500000002</v>
      </c>
      <c r="G175" s="3">
        <v>148</v>
      </c>
      <c r="H175" s="3">
        <v>0</v>
      </c>
      <c r="I175" s="3">
        <v>51.18</v>
      </c>
      <c r="J175" s="3">
        <v>36.040000000000006</v>
      </c>
      <c r="K175" s="3">
        <f t="shared" si="17"/>
        <v>148</v>
      </c>
      <c r="L175" s="5">
        <f t="shared" si="18"/>
        <v>0</v>
      </c>
      <c r="M175" s="5">
        <f t="shared" si="19"/>
        <v>67.328093918687713</v>
      </c>
      <c r="N175" s="5">
        <f t="shared" si="20"/>
        <v>10.438847748700258</v>
      </c>
      <c r="O175" s="5">
        <f t="shared" si="21"/>
        <v>10.438847748700258</v>
      </c>
      <c r="P175" s="5">
        <f t="shared" si="22"/>
        <v>84.528351981018218</v>
      </c>
      <c r="Q175" s="5">
        <f t="shared" si="23"/>
        <v>15.504445679551356</v>
      </c>
    </row>
    <row r="176" spans="1:17" x14ac:dyDescent="0.2">
      <c r="A176" t="str">
        <f t="shared" si="16"/>
        <v>Maine_2012</v>
      </c>
      <c r="B176" t="s">
        <v>24</v>
      </c>
      <c r="C176">
        <v>2012</v>
      </c>
      <c r="D176" s="3">
        <v>1311652</v>
      </c>
      <c r="E176" s="3">
        <v>1102380.656</v>
      </c>
      <c r="F176" s="3">
        <v>209726.86400000003</v>
      </c>
      <c r="G176" s="3">
        <v>51</v>
      </c>
      <c r="H176" s="3">
        <v>0</v>
      </c>
      <c r="I176" s="3">
        <v>45.727272727272727</v>
      </c>
      <c r="J176" s="3">
        <v>37.234999999999999</v>
      </c>
      <c r="K176" s="3">
        <f t="shared" si="17"/>
        <v>51</v>
      </c>
      <c r="L176" s="5">
        <f t="shared" si="18"/>
        <v>0</v>
      </c>
      <c r="M176" s="5">
        <f t="shared" si="19"/>
        <v>24.317342579441799</v>
      </c>
      <c r="N176" s="5">
        <f t="shared" si="20"/>
        <v>3.888226450308466</v>
      </c>
      <c r="O176" s="5">
        <f t="shared" si="21"/>
        <v>3.888226450308466</v>
      </c>
      <c r="P176" s="5">
        <f t="shared" si="22"/>
        <v>84.045208332697996</v>
      </c>
      <c r="Q176" s="5">
        <f t="shared" si="23"/>
        <v>15.989520391079342</v>
      </c>
    </row>
    <row r="177" spans="1:17" x14ac:dyDescent="0.2">
      <c r="A177" t="str">
        <f t="shared" si="16"/>
        <v>Maine_2013</v>
      </c>
      <c r="B177" t="s">
        <v>24</v>
      </c>
      <c r="C177">
        <v>2013</v>
      </c>
      <c r="D177" s="3">
        <v>1328320</v>
      </c>
      <c r="E177" s="3">
        <v>1109160.1320000002</v>
      </c>
      <c r="F177" s="3">
        <v>220400.67300000001</v>
      </c>
      <c r="G177" s="3">
        <v>105</v>
      </c>
      <c r="H177" s="3">
        <v>0</v>
      </c>
      <c r="I177" s="3">
        <v>45.636363636363633</v>
      </c>
      <c r="J177" s="3">
        <v>37.674999999999997</v>
      </c>
      <c r="K177" s="3">
        <f t="shared" si="17"/>
        <v>105</v>
      </c>
      <c r="L177" s="5">
        <f t="shared" si="18"/>
        <v>0</v>
      </c>
      <c r="M177" s="5">
        <f t="shared" si="19"/>
        <v>47.640507885382</v>
      </c>
      <c r="N177" s="5">
        <f t="shared" si="20"/>
        <v>7.9047217537942664</v>
      </c>
      <c r="O177" s="5">
        <f t="shared" si="21"/>
        <v>7.9047217537942664</v>
      </c>
      <c r="P177" s="5">
        <f t="shared" si="22"/>
        <v>83.500973560587823</v>
      </c>
      <c r="Q177" s="5">
        <f t="shared" si="23"/>
        <v>16.592438042038061</v>
      </c>
    </row>
    <row r="178" spans="1:17" x14ac:dyDescent="0.2">
      <c r="A178" t="str">
        <f t="shared" si="16"/>
        <v>Maine_2014</v>
      </c>
      <c r="B178" t="s">
        <v>24</v>
      </c>
      <c r="C178">
        <v>2014</v>
      </c>
      <c r="D178" s="3">
        <v>1346053</v>
      </c>
      <c r="E178" s="3">
        <v>1115751.1370000001</v>
      </c>
      <c r="F178" s="3">
        <v>230563.22200000004</v>
      </c>
      <c r="G178" s="3">
        <v>61</v>
      </c>
      <c r="H178" s="3">
        <v>0</v>
      </c>
      <c r="I178" s="3">
        <v>50.099999999999994</v>
      </c>
      <c r="J178" s="3">
        <v>36.571428571428569</v>
      </c>
      <c r="K178" s="3">
        <f t="shared" si="17"/>
        <v>61</v>
      </c>
      <c r="L178" s="5">
        <f t="shared" si="18"/>
        <v>0</v>
      </c>
      <c r="M178" s="5">
        <f t="shared" si="19"/>
        <v>26.456951577472314</v>
      </c>
      <c r="N178" s="5">
        <f t="shared" si="20"/>
        <v>4.5317680655962285</v>
      </c>
      <c r="O178" s="5">
        <f t="shared" si="21"/>
        <v>4.5317680655962285</v>
      </c>
      <c r="P178" s="5">
        <f t="shared" si="22"/>
        <v>82.89057986572594</v>
      </c>
      <c r="Q178" s="5">
        <f t="shared" si="23"/>
        <v>17.128836828861868</v>
      </c>
    </row>
    <row r="179" spans="1:17" x14ac:dyDescent="0.2">
      <c r="A179" t="str">
        <f t="shared" si="16"/>
        <v>Maine_2015</v>
      </c>
      <c r="B179" t="s">
        <v>24</v>
      </c>
      <c r="C179">
        <v>2015</v>
      </c>
      <c r="D179" s="3">
        <v>1333487</v>
      </c>
      <c r="E179" s="3">
        <v>1099003.3309999998</v>
      </c>
      <c r="F179" s="3">
        <v>234864.277</v>
      </c>
      <c r="G179" s="3">
        <v>170</v>
      </c>
      <c r="H179" s="3">
        <v>0</v>
      </c>
      <c r="I179" s="3">
        <v>50.9</v>
      </c>
      <c r="J179" s="3">
        <v>36.68</v>
      </c>
      <c r="K179" s="3">
        <f t="shared" si="17"/>
        <v>170</v>
      </c>
      <c r="L179" s="5">
        <f t="shared" si="18"/>
        <v>0</v>
      </c>
      <c r="M179" s="5">
        <f t="shared" si="19"/>
        <v>72.382229503552807</v>
      </c>
      <c r="N179" s="5">
        <f t="shared" si="20"/>
        <v>12.748530731833155</v>
      </c>
      <c r="O179" s="5">
        <f t="shared" si="21"/>
        <v>12.748530731833155</v>
      </c>
      <c r="P179" s="5">
        <f t="shared" si="22"/>
        <v>82.415751409650014</v>
      </c>
      <c r="Q179" s="5">
        <f t="shared" si="23"/>
        <v>17.612790900848676</v>
      </c>
    </row>
    <row r="180" spans="1:17" x14ac:dyDescent="0.2">
      <c r="A180" t="str">
        <f t="shared" si="16"/>
        <v>Maine_2016</v>
      </c>
      <c r="B180" t="s">
        <v>24</v>
      </c>
      <c r="C180">
        <v>2016</v>
      </c>
      <c r="D180" s="3">
        <v>1359301</v>
      </c>
      <c r="E180" s="3">
        <v>1114804.8470000001</v>
      </c>
      <c r="F180" s="3">
        <v>243904.57199999999</v>
      </c>
      <c r="G180" s="3">
        <v>80</v>
      </c>
      <c r="H180" s="3">
        <v>0</v>
      </c>
      <c r="I180" s="3">
        <v>52.320000000000007</v>
      </c>
      <c r="J180" s="3">
        <v>37.475000000000001</v>
      </c>
      <c r="K180" s="3">
        <f t="shared" si="17"/>
        <v>80</v>
      </c>
      <c r="L180" s="5">
        <f t="shared" si="18"/>
        <v>0</v>
      </c>
      <c r="M180" s="5">
        <f t="shared" si="19"/>
        <v>32.799713159948475</v>
      </c>
      <c r="N180" s="5">
        <f t="shared" si="20"/>
        <v>5.8853778522932005</v>
      </c>
      <c r="O180" s="5">
        <f t="shared" si="21"/>
        <v>5.8853778522932005</v>
      </c>
      <c r="P180" s="5">
        <f t="shared" si="22"/>
        <v>82.013096952036378</v>
      </c>
      <c r="Q180" s="5">
        <f t="shared" si="23"/>
        <v>17.943382076523154</v>
      </c>
    </row>
    <row r="181" spans="1:17" x14ac:dyDescent="0.2">
      <c r="A181" t="str">
        <f t="shared" si="16"/>
        <v>Maine_2017</v>
      </c>
      <c r="B181" t="s">
        <v>24</v>
      </c>
      <c r="C181">
        <v>2017</v>
      </c>
      <c r="D181" s="3">
        <v>1365894</v>
      </c>
      <c r="E181" s="3">
        <v>1110716</v>
      </c>
      <c r="F181" s="3">
        <v>255178</v>
      </c>
      <c r="G181" s="3">
        <v>130</v>
      </c>
      <c r="H181" s="3">
        <v>0</v>
      </c>
      <c r="I181" s="3">
        <v>41.410000000000004</v>
      </c>
      <c r="J181" s="3">
        <v>33.989999999999995</v>
      </c>
      <c r="K181" s="3">
        <f t="shared" si="17"/>
        <v>130</v>
      </c>
      <c r="L181" s="5">
        <f t="shared" si="18"/>
        <v>0</v>
      </c>
      <c r="M181" s="5">
        <f t="shared" si="19"/>
        <v>50.944830667220536</v>
      </c>
      <c r="N181" s="5">
        <f t="shared" si="20"/>
        <v>9.5175760344506966</v>
      </c>
      <c r="O181" s="5">
        <f t="shared" si="21"/>
        <v>9.5175760344506966</v>
      </c>
      <c r="P181" s="5">
        <f t="shared" si="22"/>
        <v>81.317876789853386</v>
      </c>
      <c r="Q181" s="5">
        <f t="shared" si="23"/>
        <v>18.682123210146614</v>
      </c>
    </row>
    <row r="182" spans="1:17" x14ac:dyDescent="0.2">
      <c r="A182" t="str">
        <f t="shared" si="16"/>
        <v>Maryland_2009</v>
      </c>
      <c r="B182" t="s">
        <v>25</v>
      </c>
      <c r="C182">
        <v>2009</v>
      </c>
      <c r="D182" s="3">
        <v>5637418</v>
      </c>
      <c r="E182" s="3">
        <v>4973429.1560000004</v>
      </c>
      <c r="F182" s="3">
        <v>663114.52300000028</v>
      </c>
      <c r="G182" s="3">
        <v>692</v>
      </c>
      <c r="H182" s="3">
        <v>32</v>
      </c>
      <c r="I182" s="3">
        <v>45.889285714285712</v>
      </c>
      <c r="J182" s="3">
        <v>40.246428571428574</v>
      </c>
      <c r="K182" s="3">
        <f t="shared" si="17"/>
        <v>724</v>
      </c>
      <c r="L182" s="5">
        <f t="shared" si="18"/>
        <v>0.64341923844224957</v>
      </c>
      <c r="M182" s="5">
        <f t="shared" si="19"/>
        <v>104.3560314241526</v>
      </c>
      <c r="N182" s="5">
        <f t="shared" si="20"/>
        <v>12.842758865849577</v>
      </c>
      <c r="O182" s="5">
        <f t="shared" si="21"/>
        <v>12.842758865849577</v>
      </c>
      <c r="P182" s="5">
        <f t="shared" si="22"/>
        <v>88.221756059245564</v>
      </c>
      <c r="Q182" s="5">
        <f t="shared" si="23"/>
        <v>11.762734695209762</v>
      </c>
    </row>
    <row r="183" spans="1:17" x14ac:dyDescent="0.2">
      <c r="A183" t="str">
        <f t="shared" si="16"/>
        <v>Maryland_2010</v>
      </c>
      <c r="B183" t="s">
        <v>25</v>
      </c>
      <c r="C183">
        <v>2010</v>
      </c>
      <c r="D183" s="3">
        <v>5729150</v>
      </c>
      <c r="E183" s="3">
        <v>5048292.6109999986</v>
      </c>
      <c r="F183" s="3">
        <v>680712.30799999996</v>
      </c>
      <c r="G183" s="3">
        <v>726</v>
      </c>
      <c r="H183" s="3">
        <v>13</v>
      </c>
      <c r="I183" s="3">
        <v>51.3</v>
      </c>
      <c r="J183" s="3">
        <v>38.17</v>
      </c>
      <c r="K183" s="3">
        <f t="shared" si="17"/>
        <v>739</v>
      </c>
      <c r="L183" s="5">
        <f t="shared" si="18"/>
        <v>0.25751280683836741</v>
      </c>
      <c r="M183" s="5">
        <f t="shared" si="19"/>
        <v>106.65298562516958</v>
      </c>
      <c r="N183" s="5">
        <f t="shared" si="20"/>
        <v>12.898946615117426</v>
      </c>
      <c r="O183" s="5">
        <f t="shared" si="21"/>
        <v>12.898946615117426</v>
      </c>
      <c r="P183" s="5">
        <f t="shared" si="22"/>
        <v>88.115909183735781</v>
      </c>
      <c r="Q183" s="5">
        <f t="shared" si="23"/>
        <v>11.881558485988322</v>
      </c>
    </row>
    <row r="184" spans="1:17" x14ac:dyDescent="0.2">
      <c r="A184" t="str">
        <f t="shared" si="16"/>
        <v>Maryland_2011</v>
      </c>
      <c r="B184" t="s">
        <v>25</v>
      </c>
      <c r="C184">
        <v>2011</v>
      </c>
      <c r="D184" s="3">
        <v>5750718</v>
      </c>
      <c r="E184" s="3">
        <v>5052052.97</v>
      </c>
      <c r="F184" s="3">
        <v>698137.43800000008</v>
      </c>
      <c r="G184" s="3">
        <v>847</v>
      </c>
      <c r="H184" s="3">
        <v>30</v>
      </c>
      <c r="I184" s="3">
        <v>53.02</v>
      </c>
      <c r="J184" s="3">
        <v>38.636842105263163</v>
      </c>
      <c r="K184" s="3">
        <f t="shared" si="17"/>
        <v>877</v>
      </c>
      <c r="L184" s="5">
        <f t="shared" si="18"/>
        <v>0.59381800187261302</v>
      </c>
      <c r="M184" s="5">
        <f t="shared" si="19"/>
        <v>121.32281609570404</v>
      </c>
      <c r="N184" s="5">
        <f t="shared" si="20"/>
        <v>15.250269618506769</v>
      </c>
      <c r="O184" s="5">
        <f t="shared" si="21"/>
        <v>15.250269618506769</v>
      </c>
      <c r="P184" s="5">
        <f t="shared" si="22"/>
        <v>87.850820888800314</v>
      </c>
      <c r="Q184" s="5">
        <f t="shared" si="23"/>
        <v>12.140004743755476</v>
      </c>
    </row>
    <row r="185" spans="1:17" x14ac:dyDescent="0.2">
      <c r="A185" t="str">
        <f t="shared" si="16"/>
        <v>Maryland_2012</v>
      </c>
      <c r="B185" t="s">
        <v>25</v>
      </c>
      <c r="C185">
        <v>2012</v>
      </c>
      <c r="D185" s="3">
        <v>5785496</v>
      </c>
      <c r="E185" s="3">
        <v>5067083.7610000009</v>
      </c>
      <c r="F185" s="3">
        <v>716292.64899999998</v>
      </c>
      <c r="G185" s="3">
        <v>752</v>
      </c>
      <c r="H185" s="3">
        <v>11</v>
      </c>
      <c r="I185" s="3">
        <v>53.69</v>
      </c>
      <c r="J185" s="3">
        <v>40.945000000000007</v>
      </c>
      <c r="K185" s="3">
        <f t="shared" si="17"/>
        <v>763</v>
      </c>
      <c r="L185" s="5">
        <f t="shared" si="18"/>
        <v>0.21708739225240525</v>
      </c>
      <c r="M185" s="5">
        <f t="shared" si="19"/>
        <v>104.98502267890788</v>
      </c>
      <c r="N185" s="5">
        <f t="shared" si="20"/>
        <v>13.188151888792248</v>
      </c>
      <c r="O185" s="5">
        <f t="shared" si="21"/>
        <v>13.188151888792248</v>
      </c>
      <c r="P185" s="5">
        <f t="shared" si="22"/>
        <v>87.582529847052029</v>
      </c>
      <c r="Q185" s="5">
        <f t="shared" si="23"/>
        <v>12.380833881831393</v>
      </c>
    </row>
    <row r="186" spans="1:17" x14ac:dyDescent="0.2">
      <c r="A186" t="str">
        <f t="shared" si="16"/>
        <v>Maryland_2013</v>
      </c>
      <c r="B186" t="s">
        <v>25</v>
      </c>
      <c r="C186">
        <v>2013</v>
      </c>
      <c r="D186" s="3">
        <v>5801682</v>
      </c>
      <c r="E186" s="3">
        <v>5070569.9690000005</v>
      </c>
      <c r="F186" s="3">
        <v>734077.25000000012</v>
      </c>
      <c r="G186" s="3">
        <v>900</v>
      </c>
      <c r="H186" s="3">
        <v>43</v>
      </c>
      <c r="I186" s="3">
        <v>57.622222222222227</v>
      </c>
      <c r="J186" s="3">
        <v>41.178947368421049</v>
      </c>
      <c r="K186" s="3">
        <f t="shared" si="17"/>
        <v>943</v>
      </c>
      <c r="L186" s="5">
        <f t="shared" si="18"/>
        <v>0.84803089717506264</v>
      </c>
      <c r="M186" s="5">
        <f t="shared" si="19"/>
        <v>122.60290044406086</v>
      </c>
      <c r="N186" s="5">
        <f t="shared" si="20"/>
        <v>16.253907056608757</v>
      </c>
      <c r="O186" s="5">
        <f t="shared" si="21"/>
        <v>16.253907056608757</v>
      </c>
      <c r="P186" s="5">
        <f t="shared" si="22"/>
        <v>87.398274655522329</v>
      </c>
      <c r="Q186" s="5">
        <f t="shared" si="23"/>
        <v>12.652834988198252</v>
      </c>
    </row>
    <row r="187" spans="1:17" x14ac:dyDescent="0.2">
      <c r="A187" t="str">
        <f t="shared" si="16"/>
        <v>Maryland_2014</v>
      </c>
      <c r="B187" t="s">
        <v>25</v>
      </c>
      <c r="C187">
        <v>2014</v>
      </c>
      <c r="D187" s="3">
        <v>5923810</v>
      </c>
      <c r="E187" s="3">
        <v>5151313.7990000006</v>
      </c>
      <c r="F187" s="3">
        <v>769137.40399999986</v>
      </c>
      <c r="G187" s="3">
        <v>797</v>
      </c>
      <c r="H187" s="3">
        <v>58</v>
      </c>
      <c r="I187" s="3">
        <v>49.86</v>
      </c>
      <c r="J187" s="3">
        <v>37.245454545454557</v>
      </c>
      <c r="K187" s="3">
        <f t="shared" si="17"/>
        <v>855</v>
      </c>
      <c r="L187" s="5">
        <f t="shared" si="18"/>
        <v>1.1259263609850221</v>
      </c>
      <c r="M187" s="5">
        <f t="shared" si="19"/>
        <v>103.62257716957944</v>
      </c>
      <c r="N187" s="5">
        <f t="shared" si="20"/>
        <v>14.433278582533875</v>
      </c>
      <c r="O187" s="5">
        <f t="shared" si="21"/>
        <v>14.433278582533875</v>
      </c>
      <c r="P187" s="5">
        <f t="shared" si="22"/>
        <v>86.959470323997564</v>
      </c>
      <c r="Q187" s="5">
        <f t="shared" si="23"/>
        <v>12.983829731203395</v>
      </c>
    </row>
    <row r="188" spans="1:17" x14ac:dyDescent="0.2">
      <c r="A188" t="str">
        <f t="shared" si="16"/>
        <v>Maryland_2015</v>
      </c>
      <c r="B188" t="s">
        <v>25</v>
      </c>
      <c r="C188">
        <v>2015</v>
      </c>
      <c r="D188" s="3">
        <v>5950118</v>
      </c>
      <c r="E188" s="3">
        <v>5162483.6950000012</v>
      </c>
      <c r="F188" s="3">
        <v>790932.54700000002</v>
      </c>
      <c r="G188" s="3">
        <v>993</v>
      </c>
      <c r="H188" s="3">
        <v>25</v>
      </c>
      <c r="I188" s="3">
        <v>48.41</v>
      </c>
      <c r="J188" s="3">
        <v>40.528571428571432</v>
      </c>
      <c r="K188" s="3">
        <f t="shared" si="17"/>
        <v>1018</v>
      </c>
      <c r="L188" s="5">
        <f t="shared" si="18"/>
        <v>0.48426303068449683</v>
      </c>
      <c r="M188" s="5">
        <f t="shared" si="19"/>
        <v>125.54800074499904</v>
      </c>
      <c r="N188" s="5">
        <f t="shared" si="20"/>
        <v>17.108904394837211</v>
      </c>
      <c r="O188" s="5">
        <f t="shared" si="21"/>
        <v>17.108904394837211</v>
      </c>
      <c r="P188" s="5">
        <f t="shared" si="22"/>
        <v>86.76271117648426</v>
      </c>
      <c r="Q188" s="5">
        <f t="shared" si="23"/>
        <v>13.29272036285667</v>
      </c>
    </row>
    <row r="189" spans="1:17" x14ac:dyDescent="0.2">
      <c r="A189" t="str">
        <f t="shared" si="16"/>
        <v>Maryland_2016</v>
      </c>
      <c r="B189" t="s">
        <v>25</v>
      </c>
      <c r="C189">
        <v>2016</v>
      </c>
      <c r="D189" s="3">
        <v>5904814</v>
      </c>
      <c r="E189" s="3">
        <v>5096912.6060000006</v>
      </c>
      <c r="F189" s="3">
        <v>808810.94800000009</v>
      </c>
      <c r="G189" s="3">
        <v>833</v>
      </c>
      <c r="H189" s="3">
        <v>38</v>
      </c>
      <c r="I189" s="3">
        <v>54.280000000000008</v>
      </c>
      <c r="J189" s="3">
        <v>41.14</v>
      </c>
      <c r="K189" s="3">
        <f t="shared" si="17"/>
        <v>871</v>
      </c>
      <c r="L189" s="5">
        <f t="shared" si="18"/>
        <v>0.74554937346320271</v>
      </c>
      <c r="M189" s="5">
        <f t="shared" si="19"/>
        <v>102.99069294991787</v>
      </c>
      <c r="N189" s="5">
        <f t="shared" si="20"/>
        <v>14.750676312581565</v>
      </c>
      <c r="O189" s="5">
        <f t="shared" si="21"/>
        <v>14.750676312581565</v>
      </c>
      <c r="P189" s="5">
        <f t="shared" si="22"/>
        <v>86.317919683837644</v>
      </c>
      <c r="Q189" s="5">
        <f t="shared" si="23"/>
        <v>13.697483917359635</v>
      </c>
    </row>
    <row r="190" spans="1:17" x14ac:dyDescent="0.2">
      <c r="A190" t="str">
        <f t="shared" si="16"/>
        <v>Maryland_2017</v>
      </c>
      <c r="B190" t="s">
        <v>25</v>
      </c>
      <c r="C190">
        <v>2017</v>
      </c>
      <c r="D190" s="3">
        <v>5921207</v>
      </c>
      <c r="E190" s="3">
        <v>5084733</v>
      </c>
      <c r="F190" s="3">
        <v>836474</v>
      </c>
      <c r="G190" s="3">
        <v>822</v>
      </c>
      <c r="H190" s="3">
        <v>15</v>
      </c>
      <c r="I190" s="3">
        <v>48.33</v>
      </c>
      <c r="J190" s="3">
        <v>37.519047619047612</v>
      </c>
      <c r="K190" s="3">
        <f t="shared" si="17"/>
        <v>837</v>
      </c>
      <c r="L190" s="5">
        <f t="shared" si="18"/>
        <v>0.29500074045185853</v>
      </c>
      <c r="M190" s="5">
        <f t="shared" si="19"/>
        <v>98.269641375583703</v>
      </c>
      <c r="N190" s="5">
        <f t="shared" si="20"/>
        <v>14.135631468381362</v>
      </c>
      <c r="O190" s="5">
        <f t="shared" si="21"/>
        <v>14.135631468381362</v>
      </c>
      <c r="P190" s="5">
        <f t="shared" si="22"/>
        <v>85.873251855576072</v>
      </c>
      <c r="Q190" s="5">
        <f t="shared" si="23"/>
        <v>14.126748144423932</v>
      </c>
    </row>
    <row r="191" spans="1:17" x14ac:dyDescent="0.2">
      <c r="A191" t="str">
        <f t="shared" si="16"/>
        <v>Massachusetts_2009</v>
      </c>
      <c r="B191" t="s">
        <v>26</v>
      </c>
      <c r="C191">
        <v>2009</v>
      </c>
      <c r="D191" s="3">
        <v>6511176</v>
      </c>
      <c r="E191" s="3">
        <v>5640486.4029999999</v>
      </c>
      <c r="F191" s="3">
        <v>868998.38300000003</v>
      </c>
      <c r="G191" s="3">
        <v>1160</v>
      </c>
      <c r="H191" s="3">
        <v>13</v>
      </c>
      <c r="I191" s="3">
        <v>49.017857142857146</v>
      </c>
      <c r="J191" s="3">
        <v>48.521428571428579</v>
      </c>
      <c r="K191" s="3">
        <f t="shared" si="17"/>
        <v>1173</v>
      </c>
      <c r="L191" s="5">
        <f t="shared" si="18"/>
        <v>0.23047657721656245</v>
      </c>
      <c r="M191" s="5">
        <f t="shared" si="19"/>
        <v>133.48701478538882</v>
      </c>
      <c r="N191" s="5">
        <f t="shared" si="20"/>
        <v>18.015178824839015</v>
      </c>
      <c r="O191" s="5">
        <f t="shared" si="21"/>
        <v>18.015178824839015</v>
      </c>
      <c r="P191" s="5">
        <f t="shared" si="22"/>
        <v>86.627767441703313</v>
      </c>
      <c r="Q191" s="5">
        <f t="shared" si="23"/>
        <v>13.346258540699868</v>
      </c>
    </row>
    <row r="192" spans="1:17" x14ac:dyDescent="0.2">
      <c r="A192" t="str">
        <f t="shared" si="16"/>
        <v>Massachusetts_2010</v>
      </c>
      <c r="B192" t="s">
        <v>26</v>
      </c>
      <c r="C192">
        <v>2010</v>
      </c>
      <c r="D192" s="3">
        <v>6492771</v>
      </c>
      <c r="E192" s="3">
        <v>5610565.9620000003</v>
      </c>
      <c r="F192" s="3">
        <v>877120.75100000005</v>
      </c>
      <c r="G192" s="3">
        <v>1121</v>
      </c>
      <c r="H192" s="3">
        <v>12</v>
      </c>
      <c r="I192" s="3">
        <v>54.559999999999988</v>
      </c>
      <c r="J192" s="3">
        <v>39.89</v>
      </c>
      <c r="K192" s="3">
        <f t="shared" si="17"/>
        <v>1133</v>
      </c>
      <c r="L192" s="5">
        <f t="shared" si="18"/>
        <v>0.21388216592185569</v>
      </c>
      <c r="M192" s="5">
        <f t="shared" si="19"/>
        <v>127.80452391782484</v>
      </c>
      <c r="N192" s="5">
        <f t="shared" si="20"/>
        <v>17.450176511692774</v>
      </c>
      <c r="O192" s="5">
        <f t="shared" si="21"/>
        <v>17.450176511692774</v>
      </c>
      <c r="P192" s="5">
        <f t="shared" si="22"/>
        <v>86.412503413411628</v>
      </c>
      <c r="Q192" s="5">
        <f t="shared" si="23"/>
        <v>13.509189697280252</v>
      </c>
    </row>
    <row r="193" spans="1:17" x14ac:dyDescent="0.2">
      <c r="A193" t="str">
        <f t="shared" si="16"/>
        <v>Massachusetts_2011</v>
      </c>
      <c r="B193" t="s">
        <v>26</v>
      </c>
      <c r="C193">
        <v>2011</v>
      </c>
      <c r="D193" s="3">
        <v>6522562</v>
      </c>
      <c r="E193" s="3">
        <v>5626799.5209999997</v>
      </c>
      <c r="F193" s="3">
        <v>897013.49</v>
      </c>
      <c r="G193" s="3">
        <v>1244</v>
      </c>
      <c r="H193" s="3">
        <v>13</v>
      </c>
      <c r="I193" s="3">
        <v>52.260000000000005</v>
      </c>
      <c r="J193" s="3">
        <v>38.940000000000005</v>
      </c>
      <c r="K193" s="3">
        <f t="shared" si="17"/>
        <v>1257</v>
      </c>
      <c r="L193" s="5">
        <f t="shared" si="18"/>
        <v>0.23103719888157004</v>
      </c>
      <c r="M193" s="5">
        <f t="shared" si="19"/>
        <v>138.68241825437877</v>
      </c>
      <c r="N193" s="5">
        <f t="shared" si="20"/>
        <v>19.271568441971116</v>
      </c>
      <c r="O193" s="5">
        <f t="shared" si="21"/>
        <v>19.271568441971116</v>
      </c>
      <c r="P193" s="5">
        <f t="shared" si="22"/>
        <v>86.266708097217006</v>
      </c>
      <c r="Q193" s="5">
        <f t="shared" si="23"/>
        <v>13.752471651476828</v>
      </c>
    </row>
    <row r="194" spans="1:17" x14ac:dyDescent="0.2">
      <c r="A194" t="str">
        <f t="shared" si="16"/>
        <v>Massachusetts_2012</v>
      </c>
      <c r="B194" t="s">
        <v>26</v>
      </c>
      <c r="C194">
        <v>2012</v>
      </c>
      <c r="D194" s="3">
        <v>6555027</v>
      </c>
      <c r="E194" s="3">
        <v>5646775.034</v>
      </c>
      <c r="F194" s="3">
        <v>911507.79999999993</v>
      </c>
      <c r="G194" s="3">
        <v>1197</v>
      </c>
      <c r="H194" s="3">
        <v>0</v>
      </c>
      <c r="I194" s="3">
        <v>52.64</v>
      </c>
      <c r="J194" s="3">
        <v>45.64</v>
      </c>
      <c r="K194" s="3">
        <f t="shared" si="17"/>
        <v>1197</v>
      </c>
      <c r="L194" s="5">
        <f t="shared" si="18"/>
        <v>0</v>
      </c>
      <c r="M194" s="5">
        <f t="shared" si="19"/>
        <v>131.32087295358309</v>
      </c>
      <c r="N194" s="5">
        <f t="shared" si="20"/>
        <v>18.260794349130826</v>
      </c>
      <c r="O194" s="5">
        <f t="shared" si="21"/>
        <v>18.260794349130826</v>
      </c>
      <c r="P194" s="5">
        <f t="shared" si="22"/>
        <v>86.144191839331867</v>
      </c>
      <c r="Q194" s="5">
        <f t="shared" si="23"/>
        <v>13.905477429764973</v>
      </c>
    </row>
    <row r="195" spans="1:17" x14ac:dyDescent="0.2">
      <c r="A195" t="str">
        <f t="shared" ref="A195:A258" si="24">B195&amp;"_"&amp;C195</f>
        <v>Massachusetts_2013</v>
      </c>
      <c r="B195" t="s">
        <v>26</v>
      </c>
      <c r="C195">
        <v>2013</v>
      </c>
      <c r="D195" s="3">
        <v>6615252</v>
      </c>
      <c r="E195" s="3">
        <v>5683188.4810000006</v>
      </c>
      <c r="F195" s="3">
        <v>937471.76</v>
      </c>
      <c r="G195" s="3">
        <v>1383</v>
      </c>
      <c r="H195" s="3">
        <v>39</v>
      </c>
      <c r="I195" s="3">
        <v>49.059999999999995</v>
      </c>
      <c r="J195" s="3">
        <v>44.044999999999995</v>
      </c>
      <c r="K195" s="3">
        <f t="shared" ref="K195:K258" si="25">G195+H195</f>
        <v>1422</v>
      </c>
      <c r="L195" s="5">
        <f t="shared" ref="L195:L258" si="26">IF(E195=0,"",H195/E195*100000)</f>
        <v>0.68623449900323641</v>
      </c>
      <c r="M195" s="5">
        <f t="shared" ref="M195:M258" si="27">IF(F195=0,"",G195/F195*100000)</f>
        <v>147.52444382964669</v>
      </c>
      <c r="N195" s="5">
        <f t="shared" ref="N195:N258" si="28">IF(D195=0,"",K195/D195*100000)</f>
        <v>21.495779752608062</v>
      </c>
      <c r="O195" s="5">
        <f t="shared" ref="O195:O258" si="29">N195</f>
        <v>21.495779752608062</v>
      </c>
      <c r="P195" s="5">
        <f t="shared" ref="P195:P258" si="30">IF(D195=0,"",E195/D195*100)</f>
        <v>85.910385288421381</v>
      </c>
      <c r="Q195" s="5">
        <f t="shared" ref="Q195:Q258" si="31">IF(D195=0,"",F195/D195*100)</f>
        <v>14.171368830696093</v>
      </c>
    </row>
    <row r="196" spans="1:17" x14ac:dyDescent="0.2">
      <c r="A196" t="str">
        <f t="shared" si="24"/>
        <v>Massachusetts_2014</v>
      </c>
      <c r="B196" t="s">
        <v>26</v>
      </c>
      <c r="C196">
        <v>2014</v>
      </c>
      <c r="D196" s="3">
        <v>6667515</v>
      </c>
      <c r="E196" s="3">
        <v>5706306.5120000001</v>
      </c>
      <c r="F196" s="3">
        <v>962384.45099999988</v>
      </c>
      <c r="G196" s="3">
        <v>1178</v>
      </c>
      <c r="H196" s="3">
        <v>74</v>
      </c>
      <c r="I196" s="3">
        <v>45.327272727272721</v>
      </c>
      <c r="J196" s="3">
        <v>43.057142857142857</v>
      </c>
      <c r="K196" s="3">
        <f t="shared" si="25"/>
        <v>1252</v>
      </c>
      <c r="L196" s="5">
        <f t="shared" si="26"/>
        <v>1.296810815268733</v>
      </c>
      <c r="M196" s="5">
        <f t="shared" si="27"/>
        <v>122.40430513771882</v>
      </c>
      <c r="N196" s="5">
        <f t="shared" si="28"/>
        <v>18.777610549057634</v>
      </c>
      <c r="O196" s="5">
        <f t="shared" si="29"/>
        <v>18.777610549057634</v>
      </c>
      <c r="P196" s="5">
        <f t="shared" si="30"/>
        <v>85.58370715326474</v>
      </c>
      <c r="Q196" s="5">
        <f t="shared" si="31"/>
        <v>14.433930047401466</v>
      </c>
    </row>
    <row r="197" spans="1:17" x14ac:dyDescent="0.2">
      <c r="A197" t="str">
        <f t="shared" si="24"/>
        <v>Massachusetts_2015</v>
      </c>
      <c r="B197" t="s">
        <v>26</v>
      </c>
      <c r="C197">
        <v>2015</v>
      </c>
      <c r="D197" s="3">
        <v>6688538</v>
      </c>
      <c r="E197" s="3">
        <v>5703846.1950000003</v>
      </c>
      <c r="F197" s="3">
        <v>980267.26599999995</v>
      </c>
      <c r="G197" s="3">
        <v>1366</v>
      </c>
      <c r="H197" s="3">
        <v>40</v>
      </c>
      <c r="I197" s="3">
        <v>49.13333333333334</v>
      </c>
      <c r="J197" s="3">
        <v>42.565000000000005</v>
      </c>
      <c r="K197" s="3">
        <f t="shared" si="25"/>
        <v>1406</v>
      </c>
      <c r="L197" s="5">
        <f t="shared" si="26"/>
        <v>0.70128118172372977</v>
      </c>
      <c r="M197" s="5">
        <f t="shared" si="27"/>
        <v>139.34975158091223</v>
      </c>
      <c r="N197" s="5">
        <f t="shared" si="28"/>
        <v>21.021036286255679</v>
      </c>
      <c r="O197" s="5">
        <f t="shared" si="29"/>
        <v>21.021036286255679</v>
      </c>
      <c r="P197" s="5">
        <f t="shared" si="30"/>
        <v>85.277921647451222</v>
      </c>
      <c r="Q197" s="5">
        <f t="shared" si="31"/>
        <v>14.655927289341856</v>
      </c>
    </row>
    <row r="198" spans="1:17" x14ac:dyDescent="0.2">
      <c r="A198" t="str">
        <f t="shared" si="24"/>
        <v>Massachusetts_2016</v>
      </c>
      <c r="B198" t="s">
        <v>26</v>
      </c>
      <c r="C198">
        <v>2016</v>
      </c>
      <c r="D198" s="3">
        <v>6741921</v>
      </c>
      <c r="E198" s="3">
        <v>5727121.6680000005</v>
      </c>
      <c r="F198" s="3">
        <v>1016590.8530000001</v>
      </c>
      <c r="G198" s="3">
        <v>1096</v>
      </c>
      <c r="H198" s="3">
        <v>22</v>
      </c>
      <c r="I198" s="3">
        <v>44.85</v>
      </c>
      <c r="J198" s="3">
        <v>42.735000000000007</v>
      </c>
      <c r="K198" s="3">
        <f t="shared" si="25"/>
        <v>1118</v>
      </c>
      <c r="L198" s="5">
        <f t="shared" si="26"/>
        <v>0.38413711590804633</v>
      </c>
      <c r="M198" s="5">
        <f t="shared" si="27"/>
        <v>107.81131826689766</v>
      </c>
      <c r="N198" s="5">
        <f t="shared" si="28"/>
        <v>16.582810744890068</v>
      </c>
      <c r="O198" s="5">
        <f t="shared" si="29"/>
        <v>16.582810744890068</v>
      </c>
      <c r="P198" s="5">
        <f t="shared" si="30"/>
        <v>84.947920155101201</v>
      </c>
      <c r="Q198" s="5">
        <f t="shared" si="31"/>
        <v>15.078652701507481</v>
      </c>
    </row>
    <row r="199" spans="1:17" x14ac:dyDescent="0.2">
      <c r="A199" t="str">
        <f t="shared" si="24"/>
        <v>Massachusetts_2017</v>
      </c>
      <c r="B199" t="s">
        <v>26</v>
      </c>
      <c r="C199">
        <v>2017</v>
      </c>
      <c r="D199" s="3">
        <v>6792932</v>
      </c>
      <c r="E199" s="3">
        <v>5743714</v>
      </c>
      <c r="F199" s="3">
        <v>1049218</v>
      </c>
      <c r="G199" s="3">
        <v>1297</v>
      </c>
      <c r="H199" s="3">
        <v>38</v>
      </c>
      <c r="I199" s="3">
        <v>41.269999999999996</v>
      </c>
      <c r="J199" s="3">
        <v>39.847619047619048</v>
      </c>
      <c r="K199" s="3">
        <f t="shared" si="25"/>
        <v>1335</v>
      </c>
      <c r="L199" s="5">
        <f t="shared" si="26"/>
        <v>0.66159283000511515</v>
      </c>
      <c r="M199" s="5">
        <f t="shared" si="27"/>
        <v>123.61587391752715</v>
      </c>
      <c r="N199" s="5">
        <f t="shared" si="28"/>
        <v>19.652780272200577</v>
      </c>
      <c r="O199" s="5">
        <f t="shared" si="29"/>
        <v>19.652780272200577</v>
      </c>
      <c r="P199" s="5">
        <f t="shared" si="30"/>
        <v>84.554269054952996</v>
      </c>
      <c r="Q199" s="5">
        <f t="shared" si="31"/>
        <v>15.445730945046998</v>
      </c>
    </row>
    <row r="200" spans="1:17" x14ac:dyDescent="0.2">
      <c r="A200" t="str">
        <f t="shared" si="24"/>
        <v>Michigan_2009</v>
      </c>
      <c r="B200" t="s">
        <v>27</v>
      </c>
      <c r="C200">
        <v>2009</v>
      </c>
      <c r="D200" s="3">
        <v>10032443</v>
      </c>
      <c r="E200" s="3">
        <v>8743095.6029999983</v>
      </c>
      <c r="F200" s="3">
        <v>1286359.2039999999</v>
      </c>
      <c r="G200" s="3">
        <v>1293</v>
      </c>
      <c r="H200" s="3">
        <v>167</v>
      </c>
      <c r="I200" s="3">
        <v>43.239285714285707</v>
      </c>
      <c r="J200" s="3">
        <v>29.892857142857142</v>
      </c>
      <c r="K200" s="3">
        <f t="shared" si="25"/>
        <v>1460</v>
      </c>
      <c r="L200" s="5">
        <f t="shared" si="26"/>
        <v>1.910078621840732</v>
      </c>
      <c r="M200" s="5">
        <f t="shared" si="27"/>
        <v>100.51624740425149</v>
      </c>
      <c r="N200" s="5">
        <f t="shared" si="28"/>
        <v>14.552786395098382</v>
      </c>
      <c r="O200" s="5">
        <f t="shared" si="29"/>
        <v>14.552786395098382</v>
      </c>
      <c r="P200" s="5">
        <f t="shared" si="30"/>
        <v>87.148221056426621</v>
      </c>
      <c r="Q200" s="5">
        <f t="shared" si="31"/>
        <v>12.821993646014235</v>
      </c>
    </row>
    <row r="201" spans="1:17" x14ac:dyDescent="0.2">
      <c r="A201" t="str">
        <f t="shared" si="24"/>
        <v>Michigan_2010</v>
      </c>
      <c r="B201" t="s">
        <v>27</v>
      </c>
      <c r="C201">
        <v>2010</v>
      </c>
      <c r="D201" s="3">
        <v>10036819</v>
      </c>
      <c r="E201" s="3">
        <v>8713137.5569999982</v>
      </c>
      <c r="F201" s="3">
        <v>1325667.4450000001</v>
      </c>
      <c r="G201" s="3">
        <v>1269</v>
      </c>
      <c r="H201" s="3">
        <v>62</v>
      </c>
      <c r="I201" s="3">
        <v>49.149999999999991</v>
      </c>
      <c r="J201" s="3">
        <v>31.210526315789469</v>
      </c>
      <c r="K201" s="3">
        <f t="shared" si="25"/>
        <v>1331</v>
      </c>
      <c r="L201" s="5">
        <f t="shared" si="26"/>
        <v>0.71156916316775209</v>
      </c>
      <c r="M201" s="5">
        <f t="shared" si="27"/>
        <v>95.725364968889309</v>
      </c>
      <c r="N201" s="5">
        <f t="shared" si="28"/>
        <v>13.261173684610633</v>
      </c>
      <c r="O201" s="5">
        <f t="shared" si="29"/>
        <v>13.261173684610633</v>
      </c>
      <c r="P201" s="5">
        <f t="shared" si="30"/>
        <v>86.811743411931587</v>
      </c>
      <c r="Q201" s="5">
        <f t="shared" si="31"/>
        <v>13.208043753703242</v>
      </c>
    </row>
    <row r="202" spans="1:17" x14ac:dyDescent="0.2">
      <c r="A202" t="str">
        <f t="shared" si="24"/>
        <v>Michigan_2011</v>
      </c>
      <c r="B202" t="s">
        <v>27</v>
      </c>
      <c r="C202">
        <v>2011</v>
      </c>
      <c r="D202" s="3">
        <v>10032554</v>
      </c>
      <c r="E202" s="3">
        <v>8681952.8020000011</v>
      </c>
      <c r="F202" s="3">
        <v>1356059.1360000002</v>
      </c>
      <c r="G202" s="3">
        <v>1460</v>
      </c>
      <c r="H202" s="3">
        <v>142</v>
      </c>
      <c r="I202" s="3">
        <v>46.2</v>
      </c>
      <c r="J202" s="3">
        <v>30.452631578947358</v>
      </c>
      <c r="K202" s="3">
        <f t="shared" si="25"/>
        <v>1602</v>
      </c>
      <c r="L202" s="5">
        <f t="shared" si="26"/>
        <v>1.6355767330051418</v>
      </c>
      <c r="M202" s="5">
        <f t="shared" si="27"/>
        <v>107.66492118526605</v>
      </c>
      <c r="N202" s="5">
        <f t="shared" si="28"/>
        <v>15.968017715130165</v>
      </c>
      <c r="O202" s="5">
        <f t="shared" si="29"/>
        <v>15.968017715130165</v>
      </c>
      <c r="P202" s="5">
        <f t="shared" si="30"/>
        <v>86.537812824132331</v>
      </c>
      <c r="Q202" s="5">
        <f t="shared" si="31"/>
        <v>13.516589454689207</v>
      </c>
    </row>
    <row r="203" spans="1:17" x14ac:dyDescent="0.2">
      <c r="A203" t="str">
        <f t="shared" si="24"/>
        <v>Michigan_2012</v>
      </c>
      <c r="B203" t="s">
        <v>27</v>
      </c>
      <c r="C203">
        <v>2012</v>
      </c>
      <c r="D203" s="3">
        <v>9964477</v>
      </c>
      <c r="E203" s="3">
        <v>8588366.9670000002</v>
      </c>
      <c r="F203" s="3">
        <v>1377247.6349999998</v>
      </c>
      <c r="G203" s="3">
        <v>1330</v>
      </c>
      <c r="H203" s="3">
        <v>97</v>
      </c>
      <c r="I203" s="3">
        <v>41.736363636363642</v>
      </c>
      <c r="J203" s="3">
        <v>30.555</v>
      </c>
      <c r="K203" s="3">
        <f t="shared" si="25"/>
        <v>1427</v>
      </c>
      <c r="L203" s="5">
        <f t="shared" si="26"/>
        <v>1.1294347385563923</v>
      </c>
      <c r="M203" s="5">
        <f t="shared" si="27"/>
        <v>96.569416145702817</v>
      </c>
      <c r="N203" s="5">
        <f t="shared" si="28"/>
        <v>14.320872033725404</v>
      </c>
      <c r="O203" s="5">
        <f t="shared" si="29"/>
        <v>14.320872033725404</v>
      </c>
      <c r="P203" s="5">
        <f t="shared" si="30"/>
        <v>86.189841845186649</v>
      </c>
      <c r="Q203" s="5">
        <f t="shared" si="31"/>
        <v>13.821574729913069</v>
      </c>
    </row>
    <row r="204" spans="1:17" x14ac:dyDescent="0.2">
      <c r="A204" t="str">
        <f t="shared" si="24"/>
        <v>Michigan_2013</v>
      </c>
      <c r="B204" t="s">
        <v>27</v>
      </c>
      <c r="C204">
        <v>2013</v>
      </c>
      <c r="D204" s="3">
        <v>10002911</v>
      </c>
      <c r="E204" s="3">
        <v>8584922.5260000005</v>
      </c>
      <c r="F204" s="3">
        <v>1416956.9319999998</v>
      </c>
      <c r="G204" s="3">
        <v>1586</v>
      </c>
      <c r="H204" s="3">
        <v>181</v>
      </c>
      <c r="I204" s="3">
        <v>47.42</v>
      </c>
      <c r="J204" s="3">
        <v>32.809999999999995</v>
      </c>
      <c r="K204" s="3">
        <f t="shared" si="25"/>
        <v>1767</v>
      </c>
      <c r="L204" s="5">
        <f t="shared" si="26"/>
        <v>2.108347506361643</v>
      </c>
      <c r="M204" s="5">
        <f t="shared" si="27"/>
        <v>111.93000748169531</v>
      </c>
      <c r="N204" s="5">
        <f t="shared" si="28"/>
        <v>17.664857759906091</v>
      </c>
      <c r="O204" s="5">
        <f t="shared" si="29"/>
        <v>17.664857759906091</v>
      </c>
      <c r="P204" s="5">
        <f t="shared" si="30"/>
        <v>85.82424182320527</v>
      </c>
      <c r="Q204" s="5">
        <f t="shared" si="31"/>
        <v>14.165445758739628</v>
      </c>
    </row>
    <row r="205" spans="1:17" x14ac:dyDescent="0.2">
      <c r="A205" t="str">
        <f t="shared" si="24"/>
        <v>Michigan_2014</v>
      </c>
      <c r="B205" t="s">
        <v>27</v>
      </c>
      <c r="C205">
        <v>2014</v>
      </c>
      <c r="D205" s="3">
        <v>10210022</v>
      </c>
      <c r="E205" s="3">
        <v>8731892.0659999959</v>
      </c>
      <c r="F205" s="3">
        <v>1481841.2290000003</v>
      </c>
      <c r="G205" s="3">
        <v>1553</v>
      </c>
      <c r="H205" s="3">
        <v>173</v>
      </c>
      <c r="I205" s="3">
        <v>48.69</v>
      </c>
      <c r="J205" s="3">
        <v>31.69047619047619</v>
      </c>
      <c r="K205" s="3">
        <f t="shared" si="25"/>
        <v>1726</v>
      </c>
      <c r="L205" s="5">
        <f t="shared" si="26"/>
        <v>1.981242996275947</v>
      </c>
      <c r="M205" s="5">
        <f t="shared" si="27"/>
        <v>104.80205096250563</v>
      </c>
      <c r="N205" s="5">
        <f t="shared" si="28"/>
        <v>16.904958676876504</v>
      </c>
      <c r="O205" s="5">
        <f t="shared" si="29"/>
        <v>16.904958676876504</v>
      </c>
      <c r="P205" s="5">
        <f t="shared" si="30"/>
        <v>85.522754662036931</v>
      </c>
      <c r="Q205" s="5">
        <f t="shared" si="31"/>
        <v>14.513594867866106</v>
      </c>
    </row>
    <row r="206" spans="1:17" x14ac:dyDescent="0.2">
      <c r="A206" t="str">
        <f t="shared" si="24"/>
        <v>Michigan_2015</v>
      </c>
      <c r="B206" t="s">
        <v>27</v>
      </c>
      <c r="C206">
        <v>2015</v>
      </c>
      <c r="D206" s="3">
        <v>9833515</v>
      </c>
      <c r="E206" s="3">
        <v>8368306.4699999997</v>
      </c>
      <c r="F206" s="3">
        <v>1468343.5960000001</v>
      </c>
      <c r="G206" s="3">
        <v>1607</v>
      </c>
      <c r="H206" s="3">
        <v>169</v>
      </c>
      <c r="I206" s="3">
        <v>44.14</v>
      </c>
      <c r="J206" s="3">
        <v>29.468181818181822</v>
      </c>
      <c r="K206" s="3">
        <f t="shared" si="25"/>
        <v>1776</v>
      </c>
      <c r="L206" s="5">
        <f t="shared" si="26"/>
        <v>2.0195245072089238</v>
      </c>
      <c r="M206" s="5">
        <f t="shared" si="27"/>
        <v>109.4430489142815</v>
      </c>
      <c r="N206" s="5">
        <f t="shared" si="28"/>
        <v>18.060683285681669</v>
      </c>
      <c r="O206" s="5">
        <f t="shared" si="29"/>
        <v>18.060683285681669</v>
      </c>
      <c r="P206" s="5">
        <f t="shared" si="30"/>
        <v>85.099849545152466</v>
      </c>
      <c r="Q206" s="5">
        <f t="shared" si="31"/>
        <v>14.932031892970116</v>
      </c>
    </row>
    <row r="207" spans="1:17" x14ac:dyDescent="0.2">
      <c r="A207" t="str">
        <f t="shared" si="24"/>
        <v>Michigan_2016</v>
      </c>
      <c r="B207" t="s">
        <v>27</v>
      </c>
      <c r="C207">
        <v>2016</v>
      </c>
      <c r="D207" s="3">
        <v>10038266</v>
      </c>
      <c r="E207" s="3">
        <v>8506840.661000004</v>
      </c>
      <c r="F207" s="3">
        <v>1531799.73</v>
      </c>
      <c r="G207" s="3">
        <v>1354</v>
      </c>
      <c r="H207" s="3">
        <v>160</v>
      </c>
      <c r="I207" s="3">
        <v>46.99</v>
      </c>
      <c r="J207" s="3">
        <v>32.342857142857135</v>
      </c>
      <c r="K207" s="3">
        <f t="shared" si="25"/>
        <v>1514</v>
      </c>
      <c r="L207" s="5">
        <f t="shared" si="26"/>
        <v>1.8808392724872258</v>
      </c>
      <c r="M207" s="5">
        <f t="shared" si="27"/>
        <v>88.392756147045404</v>
      </c>
      <c r="N207" s="5">
        <f t="shared" si="28"/>
        <v>15.082286123918216</v>
      </c>
      <c r="O207" s="5">
        <f t="shared" si="29"/>
        <v>15.082286123918216</v>
      </c>
      <c r="P207" s="5">
        <f t="shared" si="30"/>
        <v>84.744124742261306</v>
      </c>
      <c r="Q207" s="5">
        <f t="shared" si="31"/>
        <v>15.25960489590533</v>
      </c>
    </row>
    <row r="208" spans="1:17" x14ac:dyDescent="0.2">
      <c r="A208" t="str">
        <f t="shared" si="24"/>
        <v>Michigan_2017</v>
      </c>
      <c r="B208" t="s">
        <v>27</v>
      </c>
      <c r="C208">
        <v>2017</v>
      </c>
      <c r="D208" s="3">
        <v>9835701</v>
      </c>
      <c r="E208" s="3">
        <v>8290710</v>
      </c>
      <c r="F208" s="3">
        <v>1544991</v>
      </c>
      <c r="G208" s="3">
        <v>1495</v>
      </c>
      <c r="H208" s="3">
        <v>172</v>
      </c>
      <c r="I208" s="3">
        <v>42.569999999999993</v>
      </c>
      <c r="J208" s="3">
        <v>27.759090909090901</v>
      </c>
      <c r="K208" s="3">
        <f t="shared" si="25"/>
        <v>1667</v>
      </c>
      <c r="L208" s="5">
        <f t="shared" si="26"/>
        <v>2.0746112214756032</v>
      </c>
      <c r="M208" s="5">
        <f t="shared" si="27"/>
        <v>96.764317720944661</v>
      </c>
      <c r="N208" s="5">
        <f t="shared" si="28"/>
        <v>16.94846152805987</v>
      </c>
      <c r="O208" s="5">
        <f t="shared" si="29"/>
        <v>16.94846152805987</v>
      </c>
      <c r="P208" s="5">
        <f t="shared" si="30"/>
        <v>84.292009283324091</v>
      </c>
      <c r="Q208" s="5">
        <f t="shared" si="31"/>
        <v>15.707990716675912</v>
      </c>
    </row>
    <row r="209" spans="1:17" x14ac:dyDescent="0.2">
      <c r="A209" t="str">
        <f t="shared" si="24"/>
        <v>Minnesota_2009</v>
      </c>
      <c r="B209" t="s">
        <v>28</v>
      </c>
      <c r="C209">
        <v>2009</v>
      </c>
      <c r="D209" s="3">
        <v>5177992</v>
      </c>
      <c r="E209" s="3">
        <v>4538579.5650000004</v>
      </c>
      <c r="F209" s="3">
        <v>641683.07300000021</v>
      </c>
      <c r="G209" s="3">
        <v>439</v>
      </c>
      <c r="H209" s="3">
        <v>11</v>
      </c>
      <c r="I209" s="3">
        <v>54.780769230769238</v>
      </c>
      <c r="J209" s="3">
        <v>41.078571428571429</v>
      </c>
      <c r="K209" s="3">
        <f t="shared" si="25"/>
        <v>450</v>
      </c>
      <c r="L209" s="5">
        <f t="shared" si="26"/>
        <v>0.24236657840766529</v>
      </c>
      <c r="M209" s="5">
        <f t="shared" si="27"/>
        <v>68.413835189322484</v>
      </c>
      <c r="N209" s="5">
        <f t="shared" si="28"/>
        <v>8.6906275637351307</v>
      </c>
      <c r="O209" s="5">
        <f t="shared" si="29"/>
        <v>8.6906275637351307</v>
      </c>
      <c r="P209" s="5">
        <f t="shared" si="30"/>
        <v>87.651343706208905</v>
      </c>
      <c r="Q209" s="5">
        <f t="shared" si="31"/>
        <v>12.392508003102364</v>
      </c>
    </row>
    <row r="210" spans="1:17" x14ac:dyDescent="0.2">
      <c r="A210" t="str">
        <f t="shared" si="24"/>
        <v>Minnesota_2010</v>
      </c>
      <c r="B210" t="s">
        <v>28</v>
      </c>
      <c r="C210">
        <v>2010</v>
      </c>
      <c r="D210" s="3">
        <v>5293148</v>
      </c>
      <c r="E210" s="3">
        <v>4629259.4770000009</v>
      </c>
      <c r="F210" s="3">
        <v>664174.11100000003</v>
      </c>
      <c r="G210" s="3">
        <v>439</v>
      </c>
      <c r="H210" s="3">
        <v>0</v>
      </c>
      <c r="I210" s="3">
        <v>59.699999999999996</v>
      </c>
      <c r="J210" s="3">
        <v>38.04999999999999</v>
      </c>
      <c r="K210" s="3">
        <f t="shared" si="25"/>
        <v>439</v>
      </c>
      <c r="L210" s="5">
        <f t="shared" si="26"/>
        <v>0</v>
      </c>
      <c r="M210" s="5">
        <f t="shared" si="27"/>
        <v>66.097126149501477</v>
      </c>
      <c r="N210" s="5">
        <f t="shared" si="28"/>
        <v>8.2937412670116153</v>
      </c>
      <c r="O210" s="5">
        <f t="shared" si="29"/>
        <v>8.2937412670116153</v>
      </c>
      <c r="P210" s="5">
        <f t="shared" si="30"/>
        <v>87.457586241684552</v>
      </c>
      <c r="Q210" s="5">
        <f t="shared" si="31"/>
        <v>12.547809186518119</v>
      </c>
    </row>
    <row r="211" spans="1:17" x14ac:dyDescent="0.2">
      <c r="A211" t="str">
        <f t="shared" si="24"/>
        <v>Minnesota_2011</v>
      </c>
      <c r="B211" t="s">
        <v>28</v>
      </c>
      <c r="C211">
        <v>2011</v>
      </c>
      <c r="D211" s="3">
        <v>5176137</v>
      </c>
      <c r="E211" s="3">
        <v>4525809.7050000019</v>
      </c>
      <c r="F211" s="3">
        <v>651829.77800000005</v>
      </c>
      <c r="G211" s="3">
        <v>501</v>
      </c>
      <c r="H211" s="3">
        <v>0</v>
      </c>
      <c r="I211" s="3">
        <v>53.469999999999992</v>
      </c>
      <c r="J211" s="3">
        <v>36.054999999999993</v>
      </c>
      <c r="K211" s="3">
        <f t="shared" si="25"/>
        <v>501</v>
      </c>
      <c r="L211" s="5">
        <f t="shared" si="26"/>
        <v>0</v>
      </c>
      <c r="M211" s="5">
        <f t="shared" si="27"/>
        <v>76.860557297215095</v>
      </c>
      <c r="N211" s="5">
        <f t="shared" si="28"/>
        <v>9.6790328385821311</v>
      </c>
      <c r="O211" s="5">
        <f t="shared" si="29"/>
        <v>9.6790328385821311</v>
      </c>
      <c r="P211" s="5">
        <f t="shared" si="30"/>
        <v>87.436049412911629</v>
      </c>
      <c r="Q211" s="5">
        <f t="shared" si="31"/>
        <v>12.59297769746048</v>
      </c>
    </row>
    <row r="212" spans="1:17" x14ac:dyDescent="0.2">
      <c r="A212" t="str">
        <f t="shared" si="24"/>
        <v>Minnesota_2012</v>
      </c>
      <c r="B212" t="s">
        <v>28</v>
      </c>
      <c r="C212">
        <v>2012</v>
      </c>
      <c r="D212" s="3">
        <v>5110756</v>
      </c>
      <c r="E212" s="3">
        <v>4462834.3969999989</v>
      </c>
      <c r="F212" s="3">
        <v>646559.19700000028</v>
      </c>
      <c r="G212" s="3">
        <v>517</v>
      </c>
      <c r="H212" s="3">
        <v>0</v>
      </c>
      <c r="I212" s="3">
        <v>54.42</v>
      </c>
      <c r="J212" s="3">
        <v>39.215000000000003</v>
      </c>
      <c r="K212" s="3">
        <f t="shared" si="25"/>
        <v>517</v>
      </c>
      <c r="L212" s="5">
        <f t="shared" si="26"/>
        <v>0</v>
      </c>
      <c r="M212" s="5">
        <f t="shared" si="27"/>
        <v>79.961742466714881</v>
      </c>
      <c r="N212" s="5">
        <f t="shared" si="28"/>
        <v>10.115920227848875</v>
      </c>
      <c r="O212" s="5">
        <f t="shared" si="29"/>
        <v>10.115920227848875</v>
      </c>
      <c r="P212" s="5">
        <f t="shared" si="30"/>
        <v>87.322392166638338</v>
      </c>
      <c r="Q212" s="5">
        <f t="shared" si="31"/>
        <v>12.650950211671233</v>
      </c>
    </row>
    <row r="213" spans="1:17" x14ac:dyDescent="0.2">
      <c r="A213" t="str">
        <f t="shared" si="24"/>
        <v>Minnesota_2013</v>
      </c>
      <c r="B213" t="s">
        <v>28</v>
      </c>
      <c r="C213">
        <v>2013</v>
      </c>
      <c r="D213" s="3">
        <v>5721822</v>
      </c>
      <c r="E213" s="3">
        <v>4928622.6579999989</v>
      </c>
      <c r="F213" s="3">
        <v>795161.83000000031</v>
      </c>
      <c r="G213" s="3">
        <v>567</v>
      </c>
      <c r="H213" s="3">
        <v>0</v>
      </c>
      <c r="I213" s="3">
        <v>53.6</v>
      </c>
      <c r="J213" s="3">
        <v>40.860000000000007</v>
      </c>
      <c r="K213" s="3">
        <f t="shared" si="25"/>
        <v>567</v>
      </c>
      <c r="L213" s="5">
        <f t="shared" si="26"/>
        <v>0</v>
      </c>
      <c r="M213" s="5">
        <f t="shared" si="27"/>
        <v>71.306239636779324</v>
      </c>
      <c r="N213" s="5">
        <f t="shared" si="28"/>
        <v>9.9094309469955544</v>
      </c>
      <c r="O213" s="5">
        <f t="shared" si="29"/>
        <v>9.9094309469955544</v>
      </c>
      <c r="P213" s="5">
        <f t="shared" si="30"/>
        <v>86.137294344353933</v>
      </c>
      <c r="Q213" s="5">
        <f t="shared" si="31"/>
        <v>13.897003961325611</v>
      </c>
    </row>
    <row r="214" spans="1:17" x14ac:dyDescent="0.2">
      <c r="A214" t="str">
        <f t="shared" si="24"/>
        <v>Minnesota_2014</v>
      </c>
      <c r="B214" t="s">
        <v>28</v>
      </c>
      <c r="C214">
        <v>2014</v>
      </c>
      <c r="D214" s="3">
        <v>5381551</v>
      </c>
      <c r="E214" s="3">
        <v>4662695.2319999989</v>
      </c>
      <c r="F214" s="3">
        <v>719645.86100000003</v>
      </c>
      <c r="G214" s="3">
        <v>425</v>
      </c>
      <c r="H214" s="3">
        <v>20</v>
      </c>
      <c r="I214" s="3">
        <v>53.070000000000007</v>
      </c>
      <c r="J214" s="3">
        <v>39.984999999999999</v>
      </c>
      <c r="K214" s="3">
        <f t="shared" si="25"/>
        <v>445</v>
      </c>
      <c r="L214" s="5">
        <f t="shared" si="26"/>
        <v>0.42893646281533343</v>
      </c>
      <c r="M214" s="5">
        <f t="shared" si="27"/>
        <v>59.056825451539687</v>
      </c>
      <c r="N214" s="5">
        <f t="shared" si="28"/>
        <v>8.2689915974037973</v>
      </c>
      <c r="O214" s="5">
        <f t="shared" si="29"/>
        <v>8.2689915974037973</v>
      </c>
      <c r="P214" s="5">
        <f t="shared" si="30"/>
        <v>86.642219538567957</v>
      </c>
      <c r="Q214" s="5">
        <f t="shared" si="31"/>
        <v>13.372461972394204</v>
      </c>
    </row>
    <row r="215" spans="1:17" x14ac:dyDescent="0.2">
      <c r="A215" t="str">
        <f t="shared" si="24"/>
        <v>Minnesota_2015</v>
      </c>
      <c r="B215" t="s">
        <v>28</v>
      </c>
      <c r="C215">
        <v>2015</v>
      </c>
      <c r="D215" s="3">
        <v>5453931</v>
      </c>
      <c r="E215" s="3">
        <v>4697211.5660000006</v>
      </c>
      <c r="F215" s="3">
        <v>754893.37300000002</v>
      </c>
      <c r="G215" s="3">
        <v>562</v>
      </c>
      <c r="H215" s="3">
        <v>0</v>
      </c>
      <c r="I215" s="3">
        <v>45.790909090909096</v>
      </c>
      <c r="J215" s="3">
        <v>37.128571428571426</v>
      </c>
      <c r="K215" s="3">
        <f t="shared" si="25"/>
        <v>562</v>
      </c>
      <c r="L215" s="5">
        <f t="shared" si="26"/>
        <v>0</v>
      </c>
      <c r="M215" s="5">
        <f t="shared" si="27"/>
        <v>74.447600164586419</v>
      </c>
      <c r="N215" s="5">
        <f t="shared" si="28"/>
        <v>10.304494134597595</v>
      </c>
      <c r="O215" s="5">
        <f t="shared" si="29"/>
        <v>10.304494134597595</v>
      </c>
      <c r="P215" s="5">
        <f t="shared" si="30"/>
        <v>86.125247385784689</v>
      </c>
      <c r="Q215" s="5">
        <f t="shared" si="31"/>
        <v>13.841271057517963</v>
      </c>
    </row>
    <row r="216" spans="1:17" x14ac:dyDescent="0.2">
      <c r="A216" t="str">
        <f t="shared" si="24"/>
        <v>Minnesota_2016</v>
      </c>
      <c r="B216" t="s">
        <v>28</v>
      </c>
      <c r="C216">
        <v>2016</v>
      </c>
      <c r="D216" s="3">
        <v>5449528</v>
      </c>
      <c r="E216" s="3">
        <v>4673092.3190000011</v>
      </c>
      <c r="F216" s="3">
        <v>775633.30199999956</v>
      </c>
      <c r="G216" s="3">
        <v>344</v>
      </c>
      <c r="H216" s="3">
        <v>0</v>
      </c>
      <c r="I216" s="3">
        <v>51.239999999999995</v>
      </c>
      <c r="J216" s="3">
        <v>38.954999999999998</v>
      </c>
      <c r="K216" s="3">
        <f t="shared" si="25"/>
        <v>344</v>
      </c>
      <c r="L216" s="5">
        <f t="shared" si="26"/>
        <v>0</v>
      </c>
      <c r="M216" s="5">
        <f t="shared" si="27"/>
        <v>44.350854857957117</v>
      </c>
      <c r="N216" s="5">
        <f t="shared" si="28"/>
        <v>6.3124733004399651</v>
      </c>
      <c r="O216" s="5">
        <f t="shared" si="29"/>
        <v>6.3124733004399651</v>
      </c>
      <c r="P216" s="5">
        <f t="shared" si="30"/>
        <v>85.752239808658686</v>
      </c>
      <c r="Q216" s="5">
        <f t="shared" si="31"/>
        <v>14.233036365718272</v>
      </c>
    </row>
    <row r="217" spans="1:17" x14ac:dyDescent="0.2">
      <c r="A217" t="str">
        <f t="shared" si="24"/>
        <v>Minnesota_2017</v>
      </c>
      <c r="B217" t="s">
        <v>28</v>
      </c>
      <c r="C217">
        <v>2017</v>
      </c>
      <c r="D217" s="3">
        <v>5314189</v>
      </c>
      <c r="E217" s="3">
        <v>4540255</v>
      </c>
      <c r="F217" s="3">
        <v>773934</v>
      </c>
      <c r="G217" s="3">
        <v>492</v>
      </c>
      <c r="H217" s="3">
        <v>0</v>
      </c>
      <c r="I217" s="3">
        <v>49.940000000000005</v>
      </c>
      <c r="J217" s="3">
        <v>33.845454545454544</v>
      </c>
      <c r="K217" s="3">
        <f t="shared" si="25"/>
        <v>492</v>
      </c>
      <c r="L217" s="5">
        <f t="shared" si="26"/>
        <v>0</v>
      </c>
      <c r="M217" s="5">
        <f t="shared" si="27"/>
        <v>63.571312282442697</v>
      </c>
      <c r="N217" s="5">
        <f t="shared" si="28"/>
        <v>9.2582330060146525</v>
      </c>
      <c r="O217" s="5">
        <f t="shared" si="29"/>
        <v>9.2582330060146525</v>
      </c>
      <c r="P217" s="5">
        <f t="shared" si="30"/>
        <v>85.436460765697262</v>
      </c>
      <c r="Q217" s="5">
        <f t="shared" si="31"/>
        <v>14.563539234302732</v>
      </c>
    </row>
    <row r="218" spans="1:17" x14ac:dyDescent="0.2">
      <c r="A218" t="str">
        <f t="shared" si="24"/>
        <v>Mississippi_2009</v>
      </c>
      <c r="B218" t="s">
        <v>29</v>
      </c>
      <c r="C218">
        <v>2009</v>
      </c>
      <c r="D218" s="3">
        <v>2987771</v>
      </c>
      <c r="E218" s="3">
        <v>2614058.7040000004</v>
      </c>
      <c r="F218" s="3">
        <v>374952.68300000008</v>
      </c>
      <c r="G218" s="3">
        <v>404</v>
      </c>
      <c r="H218" s="3">
        <v>0</v>
      </c>
      <c r="I218" s="3">
        <v>45.26153846153845</v>
      </c>
      <c r="J218" s="3">
        <v>32.065384615384623</v>
      </c>
      <c r="K218" s="3">
        <f t="shared" si="25"/>
        <v>404</v>
      </c>
      <c r="L218" s="5">
        <f t="shared" si="26"/>
        <v>0</v>
      </c>
      <c r="M218" s="5">
        <f t="shared" si="27"/>
        <v>107.74692869713375</v>
      </c>
      <c r="N218" s="5">
        <f t="shared" si="28"/>
        <v>13.521785973556877</v>
      </c>
      <c r="O218" s="5">
        <f t="shared" si="29"/>
        <v>13.521785973556877</v>
      </c>
      <c r="P218" s="5">
        <f t="shared" si="30"/>
        <v>87.491936430201662</v>
      </c>
      <c r="Q218" s="5">
        <f t="shared" si="31"/>
        <v>12.549579034002273</v>
      </c>
    </row>
    <row r="219" spans="1:17" x14ac:dyDescent="0.2">
      <c r="A219" t="str">
        <f t="shared" si="24"/>
        <v>Mississippi_2010</v>
      </c>
      <c r="B219" t="s">
        <v>29</v>
      </c>
      <c r="C219">
        <v>2010</v>
      </c>
      <c r="D219" s="3">
        <v>2830107</v>
      </c>
      <c r="E219" s="3">
        <v>2476941.8120000004</v>
      </c>
      <c r="F219" s="3">
        <v>352257.93900000001</v>
      </c>
      <c r="G219" s="3">
        <v>371</v>
      </c>
      <c r="H219" s="3">
        <v>10</v>
      </c>
      <c r="I219" s="3">
        <v>51.970000000000006</v>
      </c>
      <c r="J219" s="3">
        <v>27.44736842105263</v>
      </c>
      <c r="K219" s="3">
        <f t="shared" si="25"/>
        <v>381</v>
      </c>
      <c r="L219" s="5">
        <f t="shared" si="26"/>
        <v>0.40372365436899482</v>
      </c>
      <c r="M219" s="5">
        <f t="shared" si="27"/>
        <v>105.32055034819243</v>
      </c>
      <c r="N219" s="5">
        <f t="shared" si="28"/>
        <v>13.46238852453282</v>
      </c>
      <c r="O219" s="5">
        <f t="shared" si="29"/>
        <v>13.46238852453282</v>
      </c>
      <c r="P219" s="5">
        <f t="shared" si="30"/>
        <v>87.521136550667535</v>
      </c>
      <c r="Q219" s="5">
        <f t="shared" si="31"/>
        <v>12.446806392832498</v>
      </c>
    </row>
    <row r="220" spans="1:17" x14ac:dyDescent="0.2">
      <c r="A220" t="str">
        <f t="shared" si="24"/>
        <v>Mississippi_2011</v>
      </c>
      <c r="B220" t="s">
        <v>29</v>
      </c>
      <c r="C220">
        <v>2011</v>
      </c>
      <c r="D220" s="3">
        <v>2986137</v>
      </c>
      <c r="E220" s="3">
        <v>2603282.4330000002</v>
      </c>
      <c r="F220" s="3">
        <v>382039.58200000034</v>
      </c>
      <c r="G220" s="3">
        <v>439</v>
      </c>
      <c r="H220" s="3">
        <v>0</v>
      </c>
      <c r="I220" s="3">
        <v>56.266666666666666</v>
      </c>
      <c r="J220" s="3">
        <v>27.93</v>
      </c>
      <c r="K220" s="3">
        <f t="shared" si="25"/>
        <v>439</v>
      </c>
      <c r="L220" s="5">
        <f t="shared" si="26"/>
        <v>0</v>
      </c>
      <c r="M220" s="5">
        <f t="shared" si="27"/>
        <v>114.90955929273309</v>
      </c>
      <c r="N220" s="5">
        <f t="shared" si="28"/>
        <v>14.701267892263482</v>
      </c>
      <c r="O220" s="5">
        <f t="shared" si="29"/>
        <v>14.701267892263482</v>
      </c>
      <c r="P220" s="5">
        <f t="shared" si="30"/>
        <v>87.178934958442966</v>
      </c>
      <c r="Q220" s="5">
        <f t="shared" si="31"/>
        <v>12.793772757244573</v>
      </c>
    </row>
    <row r="221" spans="1:17" x14ac:dyDescent="0.2">
      <c r="A221" t="str">
        <f t="shared" si="24"/>
        <v>Mississippi_2012</v>
      </c>
      <c r="B221" t="s">
        <v>29</v>
      </c>
      <c r="C221">
        <v>2012</v>
      </c>
      <c r="D221" s="3">
        <v>2995152</v>
      </c>
      <c r="E221" s="3">
        <v>2605334.0559999989</v>
      </c>
      <c r="F221" s="3">
        <v>389980.68699999992</v>
      </c>
      <c r="G221" s="3">
        <v>385</v>
      </c>
      <c r="H221" s="3">
        <v>0</v>
      </c>
      <c r="I221" s="3">
        <v>54.766666666666666</v>
      </c>
      <c r="J221" s="3">
        <v>27.964999999999996</v>
      </c>
      <c r="K221" s="3">
        <f t="shared" si="25"/>
        <v>385</v>
      </c>
      <c r="L221" s="5">
        <f t="shared" si="26"/>
        <v>0</v>
      </c>
      <c r="M221" s="5">
        <f t="shared" si="27"/>
        <v>98.72283752349</v>
      </c>
      <c r="N221" s="5">
        <f t="shared" si="28"/>
        <v>12.854105567931109</v>
      </c>
      <c r="O221" s="5">
        <f t="shared" si="29"/>
        <v>12.854105567931109</v>
      </c>
      <c r="P221" s="5">
        <f t="shared" si="30"/>
        <v>86.985036352078254</v>
      </c>
      <c r="Q221" s="5">
        <f t="shared" si="31"/>
        <v>13.020397195200776</v>
      </c>
    </row>
    <row r="222" spans="1:17" x14ac:dyDescent="0.2">
      <c r="A222" t="str">
        <f t="shared" si="24"/>
        <v>Mississippi_2013</v>
      </c>
      <c r="B222" t="s">
        <v>29</v>
      </c>
      <c r="C222">
        <v>2013</v>
      </c>
      <c r="D222" s="3">
        <v>3052906</v>
      </c>
      <c r="E222" s="3">
        <v>2643946.2469999995</v>
      </c>
      <c r="F222" s="3">
        <v>408406.74300000002</v>
      </c>
      <c r="G222" s="3">
        <v>560</v>
      </c>
      <c r="H222" s="3">
        <v>38</v>
      </c>
      <c r="I222" s="3">
        <v>50.316666666666663</v>
      </c>
      <c r="J222" s="3">
        <v>27.535294117647055</v>
      </c>
      <c r="K222" s="3">
        <f t="shared" si="25"/>
        <v>598</v>
      </c>
      <c r="L222" s="5">
        <f t="shared" si="26"/>
        <v>1.4372455583436077</v>
      </c>
      <c r="M222" s="5">
        <f t="shared" si="27"/>
        <v>137.11820619964641</v>
      </c>
      <c r="N222" s="5">
        <f t="shared" si="28"/>
        <v>19.58789428826174</v>
      </c>
      <c r="O222" s="5">
        <f t="shared" si="29"/>
        <v>19.58789428826174</v>
      </c>
      <c r="P222" s="5">
        <f t="shared" si="30"/>
        <v>86.604246806157789</v>
      </c>
      <c r="Q222" s="5">
        <f t="shared" si="31"/>
        <v>13.377638977420203</v>
      </c>
    </row>
    <row r="223" spans="1:17" x14ac:dyDescent="0.2">
      <c r="A223" t="str">
        <f t="shared" si="24"/>
        <v>Mississippi_2014</v>
      </c>
      <c r="B223" t="s">
        <v>29</v>
      </c>
      <c r="C223">
        <v>2014</v>
      </c>
      <c r="D223" s="3">
        <v>3028046</v>
      </c>
      <c r="E223" s="3">
        <v>2604429.0650000004</v>
      </c>
      <c r="F223" s="3">
        <v>423462.63400000014</v>
      </c>
      <c r="G223" s="3">
        <v>525</v>
      </c>
      <c r="H223" s="3">
        <v>87</v>
      </c>
      <c r="I223" s="3">
        <v>50.580000000000005</v>
      </c>
      <c r="J223" s="3">
        <v>30.771428571428562</v>
      </c>
      <c r="K223" s="3">
        <f t="shared" si="25"/>
        <v>612</v>
      </c>
      <c r="L223" s="5">
        <f t="shared" si="26"/>
        <v>3.3404634116997918</v>
      </c>
      <c r="M223" s="5">
        <f t="shared" si="27"/>
        <v>123.97788089137512</v>
      </c>
      <c r="N223" s="5">
        <f t="shared" si="28"/>
        <v>20.211053596940072</v>
      </c>
      <c r="O223" s="5">
        <f t="shared" si="29"/>
        <v>20.211053596940072</v>
      </c>
      <c r="P223" s="5">
        <f t="shared" si="30"/>
        <v>86.010221278012295</v>
      </c>
      <c r="Q223" s="5">
        <f t="shared" si="31"/>
        <v>13.984682993587288</v>
      </c>
    </row>
    <row r="224" spans="1:17" x14ac:dyDescent="0.2">
      <c r="A224" t="str">
        <f t="shared" si="24"/>
        <v>Mississippi_2015</v>
      </c>
      <c r="B224" t="s">
        <v>29</v>
      </c>
      <c r="C224">
        <v>2015</v>
      </c>
      <c r="D224" s="3">
        <v>2933682</v>
      </c>
      <c r="E224" s="3">
        <v>2525490.7110000001</v>
      </c>
      <c r="F224" s="3">
        <v>408642.68200000015</v>
      </c>
      <c r="G224" s="3">
        <v>628</v>
      </c>
      <c r="H224" s="3">
        <v>33</v>
      </c>
      <c r="I224" s="3">
        <v>48.37</v>
      </c>
      <c r="J224" s="3">
        <v>29.295238095238098</v>
      </c>
      <c r="K224" s="3">
        <f t="shared" si="25"/>
        <v>661</v>
      </c>
      <c r="L224" s="5">
        <f t="shared" si="26"/>
        <v>1.306676752215542</v>
      </c>
      <c r="M224" s="5">
        <f t="shared" si="27"/>
        <v>153.67949254013553</v>
      </c>
      <c r="N224" s="5">
        <f t="shared" si="28"/>
        <v>22.531412743439812</v>
      </c>
      <c r="O224" s="5">
        <f t="shared" si="29"/>
        <v>22.531412743439812</v>
      </c>
      <c r="P224" s="5">
        <f t="shared" si="30"/>
        <v>86.086041738675164</v>
      </c>
      <c r="Q224" s="5">
        <f t="shared" si="31"/>
        <v>13.929344830148604</v>
      </c>
    </row>
    <row r="225" spans="1:17" x14ac:dyDescent="0.2">
      <c r="A225" t="str">
        <f t="shared" si="24"/>
        <v>Mississippi_2016</v>
      </c>
      <c r="B225" t="s">
        <v>29</v>
      </c>
      <c r="C225">
        <v>2016</v>
      </c>
      <c r="D225" s="3">
        <v>3041972</v>
      </c>
      <c r="E225" s="3">
        <v>2603000.5439999998</v>
      </c>
      <c r="F225" s="3">
        <v>438886.5300000002</v>
      </c>
      <c r="G225" s="3">
        <v>611</v>
      </c>
      <c r="H225" s="3">
        <v>45</v>
      </c>
      <c r="I225" s="3">
        <v>48.811111111111103</v>
      </c>
      <c r="J225" s="3">
        <v>28.390476190476193</v>
      </c>
      <c r="K225" s="3">
        <f t="shared" si="25"/>
        <v>656</v>
      </c>
      <c r="L225" s="5">
        <f t="shared" si="26"/>
        <v>1.7287741296760943</v>
      </c>
      <c r="M225" s="5">
        <f t="shared" si="27"/>
        <v>139.21593811502933</v>
      </c>
      <c r="N225" s="5">
        <f t="shared" si="28"/>
        <v>21.564958520328261</v>
      </c>
      <c r="O225" s="5">
        <f t="shared" si="29"/>
        <v>21.564958520328261</v>
      </c>
      <c r="P225" s="5">
        <f t="shared" si="30"/>
        <v>85.569510304499843</v>
      </c>
      <c r="Q225" s="5">
        <f t="shared" si="31"/>
        <v>14.427697888080502</v>
      </c>
    </row>
    <row r="226" spans="1:17" x14ac:dyDescent="0.2">
      <c r="A226" t="str">
        <f t="shared" si="24"/>
        <v>Mississippi_2017</v>
      </c>
      <c r="B226" t="s">
        <v>29</v>
      </c>
      <c r="C226">
        <v>2017</v>
      </c>
      <c r="D226" s="3">
        <v>2679353</v>
      </c>
      <c r="E226" s="3">
        <v>2274018</v>
      </c>
      <c r="F226" s="3">
        <v>405335</v>
      </c>
      <c r="G226" s="3">
        <v>567</v>
      </c>
      <c r="H226" s="3">
        <v>54</v>
      </c>
      <c r="I226" s="3">
        <v>45.690000000000005</v>
      </c>
      <c r="J226" s="3">
        <v>29.664999999999999</v>
      </c>
      <c r="K226" s="3">
        <f t="shared" si="25"/>
        <v>621</v>
      </c>
      <c r="L226" s="5">
        <f t="shared" si="26"/>
        <v>2.3746513879837363</v>
      </c>
      <c r="M226" s="5">
        <f t="shared" si="27"/>
        <v>139.88429323892584</v>
      </c>
      <c r="N226" s="5">
        <f t="shared" si="28"/>
        <v>23.177237191217433</v>
      </c>
      <c r="O226" s="5">
        <f t="shared" si="29"/>
        <v>23.177237191217433</v>
      </c>
      <c r="P226" s="5">
        <f t="shared" si="30"/>
        <v>84.871907509014306</v>
      </c>
      <c r="Q226" s="5">
        <f t="shared" si="31"/>
        <v>15.128092490985697</v>
      </c>
    </row>
    <row r="227" spans="1:17" x14ac:dyDescent="0.2">
      <c r="A227" t="str">
        <f t="shared" si="24"/>
        <v>Missouri_2009</v>
      </c>
      <c r="B227" t="s">
        <v>30</v>
      </c>
      <c r="C227">
        <v>2009</v>
      </c>
      <c r="D227" s="3">
        <v>5784755</v>
      </c>
      <c r="E227" s="3">
        <v>5006230.7609999999</v>
      </c>
      <c r="F227" s="3">
        <v>777185.89800000016</v>
      </c>
      <c r="G227" s="3">
        <v>1108</v>
      </c>
      <c r="H227" s="3">
        <v>70</v>
      </c>
      <c r="I227" s="3">
        <v>45.442307692307686</v>
      </c>
      <c r="J227" s="3">
        <v>31.314285714285717</v>
      </c>
      <c r="K227" s="3">
        <f t="shared" si="25"/>
        <v>1178</v>
      </c>
      <c r="L227" s="5">
        <f t="shared" si="26"/>
        <v>1.3982575582675982</v>
      </c>
      <c r="M227" s="5">
        <f t="shared" si="27"/>
        <v>142.56563363428396</v>
      </c>
      <c r="N227" s="5">
        <f t="shared" si="28"/>
        <v>20.363870207121995</v>
      </c>
      <c r="O227" s="5">
        <f t="shared" si="29"/>
        <v>20.363870207121995</v>
      </c>
      <c r="P227" s="5">
        <f t="shared" si="30"/>
        <v>86.541794094996234</v>
      </c>
      <c r="Q227" s="5">
        <f t="shared" si="31"/>
        <v>13.43507024930183</v>
      </c>
    </row>
    <row r="228" spans="1:17" x14ac:dyDescent="0.2">
      <c r="A228" t="str">
        <f t="shared" si="24"/>
        <v>Missouri_2010</v>
      </c>
      <c r="B228" t="s">
        <v>30</v>
      </c>
      <c r="C228">
        <v>2010</v>
      </c>
      <c r="D228" s="3">
        <v>5871467</v>
      </c>
      <c r="E228" s="3">
        <v>5065562.063000001</v>
      </c>
      <c r="F228" s="3">
        <v>807473.54599999986</v>
      </c>
      <c r="G228" s="3">
        <v>986</v>
      </c>
      <c r="H228" s="3">
        <v>22</v>
      </c>
      <c r="I228" s="3">
        <v>50.589999999999996</v>
      </c>
      <c r="J228" s="3">
        <v>33.400000000000006</v>
      </c>
      <c r="K228" s="3">
        <f t="shared" si="25"/>
        <v>1008</v>
      </c>
      <c r="L228" s="5">
        <f t="shared" si="26"/>
        <v>0.43430521088060342</v>
      </c>
      <c r="M228" s="5">
        <f t="shared" si="27"/>
        <v>122.10926350273279</v>
      </c>
      <c r="N228" s="5">
        <f t="shared" si="28"/>
        <v>17.167770848409777</v>
      </c>
      <c r="O228" s="5">
        <f t="shared" si="29"/>
        <v>17.167770848409777</v>
      </c>
      <c r="P228" s="5">
        <f t="shared" si="30"/>
        <v>86.274214996013782</v>
      </c>
      <c r="Q228" s="5">
        <f t="shared" si="31"/>
        <v>13.752500797500861</v>
      </c>
    </row>
    <row r="229" spans="1:17" x14ac:dyDescent="0.2">
      <c r="A229" t="str">
        <f t="shared" si="24"/>
        <v>Missouri_2011</v>
      </c>
      <c r="B229" t="s">
        <v>30</v>
      </c>
      <c r="C229">
        <v>2011</v>
      </c>
      <c r="D229" s="3">
        <v>5886675</v>
      </c>
      <c r="E229" s="3">
        <v>5073465.1000000034</v>
      </c>
      <c r="F229" s="3">
        <v>811808.60499999975</v>
      </c>
      <c r="G229" s="3">
        <v>1001</v>
      </c>
      <c r="H229" s="3">
        <v>39</v>
      </c>
      <c r="I229" s="3">
        <v>59.82222222222223</v>
      </c>
      <c r="J229" s="3">
        <v>31.342105263157894</v>
      </c>
      <c r="K229" s="3">
        <f t="shared" si="25"/>
        <v>1040</v>
      </c>
      <c r="L229" s="5">
        <f t="shared" si="26"/>
        <v>0.76870539623895273</v>
      </c>
      <c r="M229" s="5">
        <f t="shared" si="27"/>
        <v>123.30492604226586</v>
      </c>
      <c r="N229" s="5">
        <f t="shared" si="28"/>
        <v>17.667019157673899</v>
      </c>
      <c r="O229" s="5">
        <f t="shared" si="29"/>
        <v>17.667019157673899</v>
      </c>
      <c r="P229" s="5">
        <f t="shared" si="30"/>
        <v>86.185581843740366</v>
      </c>
      <c r="Q229" s="5">
        <f t="shared" si="31"/>
        <v>13.790613631634152</v>
      </c>
    </row>
    <row r="230" spans="1:17" x14ac:dyDescent="0.2">
      <c r="A230" t="str">
        <f t="shared" si="24"/>
        <v>Missouri_2012</v>
      </c>
      <c r="B230" t="s">
        <v>30</v>
      </c>
      <c r="C230">
        <v>2012</v>
      </c>
      <c r="D230" s="3">
        <v>5975295</v>
      </c>
      <c r="E230" s="3">
        <v>5132634.4089999981</v>
      </c>
      <c r="F230" s="3">
        <v>841510.17599999974</v>
      </c>
      <c r="G230" s="3">
        <v>1019</v>
      </c>
      <c r="H230" s="3">
        <v>69</v>
      </c>
      <c r="I230" s="3">
        <v>54.480000000000004</v>
      </c>
      <c r="J230" s="3">
        <v>34.915789473684214</v>
      </c>
      <c r="K230" s="3">
        <f t="shared" si="25"/>
        <v>1088</v>
      </c>
      <c r="L230" s="5">
        <f t="shared" si="26"/>
        <v>1.3443388813941146</v>
      </c>
      <c r="M230" s="5">
        <f t="shared" si="27"/>
        <v>121.09182147311316</v>
      </c>
      <c r="N230" s="5">
        <f t="shared" si="28"/>
        <v>18.208306033425966</v>
      </c>
      <c r="O230" s="5">
        <f t="shared" si="29"/>
        <v>18.208306033425966</v>
      </c>
      <c r="P230" s="5">
        <f t="shared" si="30"/>
        <v>85.897590144084901</v>
      </c>
      <c r="Q230" s="5">
        <f t="shared" si="31"/>
        <v>14.083156998943144</v>
      </c>
    </row>
    <row r="231" spans="1:17" x14ac:dyDescent="0.2">
      <c r="A231" t="str">
        <f t="shared" si="24"/>
        <v>Missouri_2013</v>
      </c>
      <c r="B231" t="s">
        <v>30</v>
      </c>
      <c r="C231">
        <v>2013</v>
      </c>
      <c r="D231" s="3">
        <v>5786199</v>
      </c>
      <c r="E231" s="3">
        <v>4965788.068</v>
      </c>
      <c r="F231" s="3">
        <v>820137.08000000019</v>
      </c>
      <c r="G231" s="3">
        <v>1130</v>
      </c>
      <c r="H231" s="3">
        <v>55</v>
      </c>
      <c r="I231" s="3">
        <v>54.81</v>
      </c>
      <c r="J231" s="3">
        <v>36.789473684210527</v>
      </c>
      <c r="K231" s="3">
        <f t="shared" si="25"/>
        <v>1185</v>
      </c>
      <c r="L231" s="5">
        <f t="shared" si="26"/>
        <v>1.107578479927992</v>
      </c>
      <c r="M231" s="5">
        <f t="shared" si="27"/>
        <v>137.78184495694302</v>
      </c>
      <c r="N231" s="5">
        <f t="shared" si="28"/>
        <v>20.479765732219029</v>
      </c>
      <c r="O231" s="5">
        <f t="shared" si="29"/>
        <v>20.479765732219029</v>
      </c>
      <c r="P231" s="5">
        <f t="shared" si="30"/>
        <v>85.821245829948126</v>
      </c>
      <c r="Q231" s="5">
        <f t="shared" si="31"/>
        <v>14.174021322114919</v>
      </c>
    </row>
    <row r="232" spans="1:17" x14ac:dyDescent="0.2">
      <c r="A232" t="str">
        <f t="shared" si="24"/>
        <v>Missouri_2014</v>
      </c>
      <c r="B232" t="s">
        <v>30</v>
      </c>
      <c r="C232">
        <v>2014</v>
      </c>
      <c r="D232" s="3">
        <v>6312109</v>
      </c>
      <c r="E232" s="3">
        <v>5386946.5839999989</v>
      </c>
      <c r="F232" s="3">
        <v>923829.67400000035</v>
      </c>
      <c r="G232" s="3">
        <v>1090</v>
      </c>
      <c r="H232" s="3">
        <v>87</v>
      </c>
      <c r="I232" s="3">
        <v>54.79</v>
      </c>
      <c r="J232" s="3">
        <v>34.490476190476187</v>
      </c>
      <c r="K232" s="3">
        <f t="shared" si="25"/>
        <v>1177</v>
      </c>
      <c r="L232" s="5">
        <f t="shared" si="26"/>
        <v>1.6150150858819061</v>
      </c>
      <c r="M232" s="5">
        <f t="shared" si="27"/>
        <v>117.98711717935136</v>
      </c>
      <c r="N232" s="5">
        <f t="shared" si="28"/>
        <v>18.646699542102333</v>
      </c>
      <c r="O232" s="5">
        <f t="shared" si="29"/>
        <v>18.646699542102333</v>
      </c>
      <c r="P232" s="5">
        <f t="shared" si="30"/>
        <v>85.343053866782071</v>
      </c>
      <c r="Q232" s="5">
        <f t="shared" si="31"/>
        <v>14.635832080846518</v>
      </c>
    </row>
    <row r="233" spans="1:17" x14ac:dyDescent="0.2">
      <c r="A233" t="str">
        <f t="shared" si="24"/>
        <v>Missouri_2015</v>
      </c>
      <c r="B233" t="s">
        <v>30</v>
      </c>
      <c r="C233">
        <v>2015</v>
      </c>
      <c r="D233" s="3">
        <v>5954813</v>
      </c>
      <c r="E233" s="3">
        <v>5069476.1560000004</v>
      </c>
      <c r="F233" s="3">
        <v>886298.63300000003</v>
      </c>
      <c r="G233" s="3">
        <v>1149</v>
      </c>
      <c r="H233" s="3">
        <v>36</v>
      </c>
      <c r="I233" s="3">
        <v>53.4</v>
      </c>
      <c r="J233" s="3">
        <v>34.014285714285712</v>
      </c>
      <c r="K233" s="3">
        <f t="shared" si="25"/>
        <v>1185</v>
      </c>
      <c r="L233" s="5">
        <f t="shared" si="26"/>
        <v>0.71013254411685212</v>
      </c>
      <c r="M233" s="5">
        <f t="shared" si="27"/>
        <v>129.6402766763604</v>
      </c>
      <c r="N233" s="5">
        <f t="shared" si="28"/>
        <v>19.899869231829783</v>
      </c>
      <c r="O233" s="5">
        <f t="shared" si="29"/>
        <v>19.899869231829783</v>
      </c>
      <c r="P233" s="5">
        <f t="shared" si="30"/>
        <v>85.132415677872672</v>
      </c>
      <c r="Q233" s="5">
        <f t="shared" si="31"/>
        <v>14.88373577810084</v>
      </c>
    </row>
    <row r="234" spans="1:17" x14ac:dyDescent="0.2">
      <c r="A234" t="str">
        <f t="shared" si="24"/>
        <v>Missouri_2016</v>
      </c>
      <c r="B234" t="s">
        <v>30</v>
      </c>
      <c r="C234">
        <v>2016</v>
      </c>
      <c r="D234" s="3">
        <v>6185934</v>
      </c>
      <c r="E234" s="3">
        <v>5239788.6199999992</v>
      </c>
      <c r="F234" s="3">
        <v>945940.62800000014</v>
      </c>
      <c r="G234" s="3">
        <v>956</v>
      </c>
      <c r="H234" s="3">
        <v>71</v>
      </c>
      <c r="I234" s="3">
        <v>53.71</v>
      </c>
      <c r="J234" s="3">
        <v>34.824999999999996</v>
      </c>
      <c r="K234" s="3">
        <f t="shared" si="25"/>
        <v>1027</v>
      </c>
      <c r="L234" s="5">
        <f t="shared" si="26"/>
        <v>1.3550164930126516</v>
      </c>
      <c r="M234" s="5">
        <f t="shared" si="27"/>
        <v>101.06342530410903</v>
      </c>
      <c r="N234" s="5">
        <f t="shared" si="28"/>
        <v>16.602181659228826</v>
      </c>
      <c r="O234" s="5">
        <f t="shared" si="29"/>
        <v>16.602181659228826</v>
      </c>
      <c r="P234" s="5">
        <f t="shared" si="30"/>
        <v>84.704890482181014</v>
      </c>
      <c r="Q234" s="5">
        <f t="shared" si="31"/>
        <v>15.291799556865627</v>
      </c>
    </row>
    <row r="235" spans="1:17" x14ac:dyDescent="0.2">
      <c r="A235" t="str">
        <f t="shared" si="24"/>
        <v>Missouri_2017</v>
      </c>
      <c r="B235" t="s">
        <v>30</v>
      </c>
      <c r="C235">
        <v>2017</v>
      </c>
      <c r="D235" s="3">
        <v>5897576</v>
      </c>
      <c r="E235" s="3">
        <v>4987969</v>
      </c>
      <c r="F235" s="3">
        <v>909607</v>
      </c>
      <c r="G235" s="3">
        <v>1097</v>
      </c>
      <c r="H235" s="3">
        <v>20</v>
      </c>
      <c r="I235" s="3">
        <v>49.120000000000005</v>
      </c>
      <c r="J235" s="3">
        <v>31.505000000000003</v>
      </c>
      <c r="K235" s="3">
        <f t="shared" si="25"/>
        <v>1117</v>
      </c>
      <c r="L235" s="5">
        <f t="shared" si="26"/>
        <v>0.40096480150538227</v>
      </c>
      <c r="M235" s="5">
        <f t="shared" si="27"/>
        <v>120.60153450885933</v>
      </c>
      <c r="N235" s="5">
        <f t="shared" si="28"/>
        <v>18.939984834447237</v>
      </c>
      <c r="O235" s="5">
        <f t="shared" si="29"/>
        <v>18.939984834447237</v>
      </c>
      <c r="P235" s="5">
        <f t="shared" si="30"/>
        <v>84.576595536878202</v>
      </c>
      <c r="Q235" s="5">
        <f t="shared" si="31"/>
        <v>15.423404463121798</v>
      </c>
    </row>
    <row r="236" spans="1:17" x14ac:dyDescent="0.2">
      <c r="A236" t="str">
        <f t="shared" si="24"/>
        <v>Montana_2009</v>
      </c>
      <c r="B236" t="s">
        <v>31</v>
      </c>
      <c r="C236">
        <v>2009</v>
      </c>
      <c r="D236" s="3">
        <v>938828</v>
      </c>
      <c r="E236" s="3">
        <v>807505.98600000015</v>
      </c>
      <c r="F236" s="3">
        <v>131838.68099999998</v>
      </c>
      <c r="G236" s="3">
        <v>27</v>
      </c>
      <c r="H236" s="3">
        <v>0</v>
      </c>
      <c r="I236" s="3">
        <v>46.207692307692319</v>
      </c>
      <c r="J236" s="3">
        <v>32.034615384615385</v>
      </c>
      <c r="K236" s="3">
        <f t="shared" si="25"/>
        <v>27</v>
      </c>
      <c r="L236" s="5">
        <f t="shared" si="26"/>
        <v>0</v>
      </c>
      <c r="M236" s="5">
        <f t="shared" si="27"/>
        <v>20.479573820978992</v>
      </c>
      <c r="N236" s="5">
        <f t="shared" si="28"/>
        <v>2.8759261547376092</v>
      </c>
      <c r="O236" s="5">
        <f t="shared" si="29"/>
        <v>2.8759261547376092</v>
      </c>
      <c r="P236" s="5">
        <f t="shared" si="30"/>
        <v>86.012132786836375</v>
      </c>
      <c r="Q236" s="5">
        <f t="shared" si="31"/>
        <v>14.042900403481786</v>
      </c>
    </row>
    <row r="237" spans="1:17" x14ac:dyDescent="0.2">
      <c r="A237" t="str">
        <f t="shared" si="24"/>
        <v>Montana_2010</v>
      </c>
      <c r="B237" t="s">
        <v>31</v>
      </c>
      <c r="C237">
        <v>2010</v>
      </c>
      <c r="D237" s="3">
        <v>937821</v>
      </c>
      <c r="E237" s="3">
        <v>804009.78000000014</v>
      </c>
      <c r="F237" s="3">
        <v>134086.67199999996</v>
      </c>
      <c r="G237" s="3">
        <v>53</v>
      </c>
      <c r="H237" s="3">
        <v>0</v>
      </c>
      <c r="I237" s="3">
        <v>52.400000000000006</v>
      </c>
      <c r="J237" s="3">
        <v>28.138888888888889</v>
      </c>
      <c r="K237" s="3">
        <f t="shared" si="25"/>
        <v>53</v>
      </c>
      <c r="L237" s="5">
        <f t="shared" si="26"/>
        <v>0</v>
      </c>
      <c r="M237" s="5">
        <f t="shared" si="27"/>
        <v>39.526672718075972</v>
      </c>
      <c r="N237" s="5">
        <f t="shared" si="28"/>
        <v>5.6513982945572767</v>
      </c>
      <c r="O237" s="5">
        <f t="shared" si="29"/>
        <v>5.6513982945572767</v>
      </c>
      <c r="P237" s="5">
        <f t="shared" si="30"/>
        <v>85.731688669799482</v>
      </c>
      <c r="Q237" s="5">
        <f t="shared" si="31"/>
        <v>14.297682820069072</v>
      </c>
    </row>
    <row r="238" spans="1:17" x14ac:dyDescent="0.2">
      <c r="A238" t="str">
        <f t="shared" si="24"/>
        <v>Montana_2011</v>
      </c>
      <c r="B238" t="s">
        <v>31</v>
      </c>
      <c r="C238">
        <v>2011</v>
      </c>
      <c r="D238" s="3">
        <v>995740</v>
      </c>
      <c r="E238" s="3">
        <v>849504.49900000007</v>
      </c>
      <c r="F238" s="3">
        <v>145949.56300000002</v>
      </c>
      <c r="G238" s="3">
        <v>27</v>
      </c>
      <c r="H238" s="3">
        <v>0</v>
      </c>
      <c r="I238" s="3">
        <v>49.62222222222222</v>
      </c>
      <c r="J238" s="3">
        <v>27.884210526315787</v>
      </c>
      <c r="K238" s="3">
        <f t="shared" si="25"/>
        <v>27</v>
      </c>
      <c r="L238" s="5">
        <f t="shared" si="26"/>
        <v>0</v>
      </c>
      <c r="M238" s="5">
        <f t="shared" si="27"/>
        <v>18.499541516270245</v>
      </c>
      <c r="N238" s="5">
        <f t="shared" si="28"/>
        <v>2.7115512081467052</v>
      </c>
      <c r="O238" s="5">
        <f t="shared" si="29"/>
        <v>2.7115512081467052</v>
      </c>
      <c r="P238" s="5">
        <f t="shared" si="30"/>
        <v>85.31388705887079</v>
      </c>
      <c r="Q238" s="5">
        <f t="shared" si="31"/>
        <v>14.65739681041236</v>
      </c>
    </row>
    <row r="239" spans="1:17" x14ac:dyDescent="0.2">
      <c r="A239" t="str">
        <f t="shared" si="24"/>
        <v>Montana_2012</v>
      </c>
      <c r="B239" t="s">
        <v>31</v>
      </c>
      <c r="C239">
        <v>2012</v>
      </c>
      <c r="D239" s="3">
        <v>969860</v>
      </c>
      <c r="E239" s="3">
        <v>823031.23200000019</v>
      </c>
      <c r="F239" s="3">
        <v>146957.82899999994</v>
      </c>
      <c r="G239" s="3">
        <v>39</v>
      </c>
      <c r="H239" s="3">
        <v>0</v>
      </c>
      <c r="I239" s="3">
        <v>49.059999999999988</v>
      </c>
      <c r="J239" s="3">
        <v>28.06190476190476</v>
      </c>
      <c r="K239" s="3">
        <f t="shared" si="25"/>
        <v>39</v>
      </c>
      <c r="L239" s="5">
        <f t="shared" si="26"/>
        <v>0</v>
      </c>
      <c r="M239" s="5">
        <f t="shared" si="27"/>
        <v>26.538225466028091</v>
      </c>
      <c r="N239" s="5">
        <f t="shared" si="28"/>
        <v>4.0211989359288971</v>
      </c>
      <c r="O239" s="5">
        <f t="shared" si="29"/>
        <v>4.0211989359288971</v>
      </c>
      <c r="P239" s="5">
        <f t="shared" si="30"/>
        <v>84.860828573196159</v>
      </c>
      <c r="Q239" s="5">
        <f t="shared" si="31"/>
        <v>15.1524786051595</v>
      </c>
    </row>
    <row r="240" spans="1:17" x14ac:dyDescent="0.2">
      <c r="A240" t="str">
        <f t="shared" si="24"/>
        <v>Montana_2013</v>
      </c>
      <c r="B240" t="s">
        <v>31</v>
      </c>
      <c r="C240">
        <v>2013</v>
      </c>
      <c r="D240" s="3">
        <v>963052</v>
      </c>
      <c r="E240" s="3">
        <v>815792.64299999992</v>
      </c>
      <c r="F240" s="3">
        <v>147585.91800000001</v>
      </c>
      <c r="G240" s="3">
        <v>71</v>
      </c>
      <c r="H240" s="3">
        <v>0</v>
      </c>
      <c r="I240" s="3">
        <v>49.699999999999996</v>
      </c>
      <c r="J240" s="3">
        <v>29.31904761904762</v>
      </c>
      <c r="K240" s="3">
        <f t="shared" si="25"/>
        <v>71</v>
      </c>
      <c r="L240" s="5">
        <f t="shared" si="26"/>
        <v>0</v>
      </c>
      <c r="M240" s="5">
        <f t="shared" si="27"/>
        <v>48.107570804959856</v>
      </c>
      <c r="N240" s="5">
        <f t="shared" si="28"/>
        <v>7.3723952600690303</v>
      </c>
      <c r="O240" s="5">
        <f t="shared" si="29"/>
        <v>7.3723952600690303</v>
      </c>
      <c r="P240" s="5">
        <f t="shared" si="30"/>
        <v>84.709095978202626</v>
      </c>
      <c r="Q240" s="5">
        <f t="shared" si="31"/>
        <v>15.324812990368123</v>
      </c>
    </row>
    <row r="241" spans="1:17" x14ac:dyDescent="0.2">
      <c r="A241" t="str">
        <f t="shared" si="24"/>
        <v>Montana_2014</v>
      </c>
      <c r="B241" t="s">
        <v>31</v>
      </c>
      <c r="C241">
        <v>2014</v>
      </c>
      <c r="D241" s="3">
        <v>918790</v>
      </c>
      <c r="E241" s="3">
        <v>776872.57600000047</v>
      </c>
      <c r="F241" s="3">
        <v>141968.39900000003</v>
      </c>
      <c r="G241" s="3">
        <v>46</v>
      </c>
      <c r="H241" s="3">
        <v>0</v>
      </c>
      <c r="I241" s="3">
        <v>50.5</v>
      </c>
      <c r="J241" s="3">
        <v>32.278947368421058</v>
      </c>
      <c r="K241" s="3">
        <f t="shared" si="25"/>
        <v>46</v>
      </c>
      <c r="L241" s="5">
        <f t="shared" si="26"/>
        <v>0</v>
      </c>
      <c r="M241" s="5">
        <f t="shared" si="27"/>
        <v>32.401576917127869</v>
      </c>
      <c r="N241" s="5">
        <f t="shared" si="28"/>
        <v>5.006584747330729</v>
      </c>
      <c r="O241" s="5">
        <f t="shared" si="29"/>
        <v>5.006584747330729</v>
      </c>
      <c r="P241" s="5">
        <f t="shared" si="30"/>
        <v>84.553878035242064</v>
      </c>
      <c r="Q241" s="5">
        <f t="shared" si="31"/>
        <v>15.451670022529635</v>
      </c>
    </row>
    <row r="242" spans="1:17" x14ac:dyDescent="0.2">
      <c r="A242" t="str">
        <f t="shared" si="24"/>
        <v>Montana_2015</v>
      </c>
      <c r="B242" t="s">
        <v>31</v>
      </c>
      <c r="C242">
        <v>2015</v>
      </c>
      <c r="D242" s="3">
        <v>1066866</v>
      </c>
      <c r="E242" s="3">
        <v>891916.13000000012</v>
      </c>
      <c r="F242" s="3">
        <v>175138.56800000006</v>
      </c>
      <c r="G242" s="3">
        <v>58</v>
      </c>
      <c r="H242" s="3">
        <v>0</v>
      </c>
      <c r="I242" s="3">
        <v>50.544444444444444</v>
      </c>
      <c r="J242" s="3">
        <v>33.836842105263159</v>
      </c>
      <c r="K242" s="3">
        <f t="shared" si="25"/>
        <v>58</v>
      </c>
      <c r="L242" s="5">
        <f t="shared" si="26"/>
        <v>0</v>
      </c>
      <c r="M242" s="5">
        <f t="shared" si="27"/>
        <v>33.116634823689999</v>
      </c>
      <c r="N242" s="5">
        <f t="shared" si="28"/>
        <v>5.4364840570418398</v>
      </c>
      <c r="O242" s="5">
        <f t="shared" si="29"/>
        <v>5.4364840570418398</v>
      </c>
      <c r="P242" s="5">
        <f t="shared" si="30"/>
        <v>83.601514154542372</v>
      </c>
      <c r="Q242" s="5">
        <f t="shared" si="31"/>
        <v>16.416172977674805</v>
      </c>
    </row>
    <row r="243" spans="1:17" x14ac:dyDescent="0.2">
      <c r="A243" t="str">
        <f t="shared" si="24"/>
        <v>Montana_2016</v>
      </c>
      <c r="B243" t="s">
        <v>31</v>
      </c>
      <c r="C243">
        <v>2016</v>
      </c>
      <c r="D243" s="3">
        <v>1030376</v>
      </c>
      <c r="E243" s="3">
        <v>858945.15399999998</v>
      </c>
      <c r="F243" s="3">
        <v>171199.7790000001</v>
      </c>
      <c r="G243" s="3">
        <v>11</v>
      </c>
      <c r="H243" s="3">
        <v>0</v>
      </c>
      <c r="I243" s="3">
        <v>52.477777777777781</v>
      </c>
      <c r="J243" s="3">
        <v>30.97</v>
      </c>
      <c r="K243" s="3">
        <f t="shared" si="25"/>
        <v>11</v>
      </c>
      <c r="L243" s="5">
        <f t="shared" si="26"/>
        <v>0</v>
      </c>
      <c r="M243" s="5">
        <f t="shared" si="27"/>
        <v>6.4252419391265647</v>
      </c>
      <c r="N243" s="5">
        <f t="shared" si="28"/>
        <v>1.0675714496455664</v>
      </c>
      <c r="O243" s="5">
        <f t="shared" si="29"/>
        <v>1.0675714496455664</v>
      </c>
      <c r="P243" s="5">
        <f t="shared" si="30"/>
        <v>83.362302111074015</v>
      </c>
      <c r="Q243" s="5">
        <f t="shared" si="31"/>
        <v>16.61527238600279</v>
      </c>
    </row>
    <row r="244" spans="1:17" x14ac:dyDescent="0.2">
      <c r="A244" t="str">
        <f t="shared" si="24"/>
        <v>Montana_2017</v>
      </c>
      <c r="B244" t="s">
        <v>31</v>
      </c>
      <c r="C244">
        <v>2017</v>
      </c>
      <c r="D244" s="3">
        <v>924716</v>
      </c>
      <c r="E244" s="3">
        <v>770885</v>
      </c>
      <c r="F244" s="3">
        <v>153831</v>
      </c>
      <c r="G244" s="3">
        <v>54</v>
      </c>
      <c r="H244" s="3">
        <v>0</v>
      </c>
      <c r="I244" s="3">
        <v>46.100000000000009</v>
      </c>
      <c r="J244" s="3">
        <v>32.094736842105256</v>
      </c>
      <c r="K244" s="3">
        <f t="shared" si="25"/>
        <v>54</v>
      </c>
      <c r="L244" s="5">
        <f t="shared" si="26"/>
        <v>0</v>
      </c>
      <c r="M244" s="5">
        <f t="shared" si="27"/>
        <v>35.103457690582523</v>
      </c>
      <c r="N244" s="5">
        <f t="shared" si="28"/>
        <v>5.8396307623097252</v>
      </c>
      <c r="O244" s="5">
        <f t="shared" si="29"/>
        <v>5.8396307623097252</v>
      </c>
      <c r="P244" s="5">
        <f t="shared" si="30"/>
        <v>83.364514077835793</v>
      </c>
      <c r="Q244" s="5">
        <f t="shared" si="31"/>
        <v>16.635485922164211</v>
      </c>
    </row>
    <row r="245" spans="1:17" x14ac:dyDescent="0.2">
      <c r="A245" t="str">
        <f t="shared" si="24"/>
        <v>Nebraska_2009</v>
      </c>
      <c r="B245" t="s">
        <v>32</v>
      </c>
      <c r="C245">
        <v>2009</v>
      </c>
      <c r="D245" s="3">
        <v>1743003</v>
      </c>
      <c r="E245" s="3">
        <v>1511291.9249999998</v>
      </c>
      <c r="F245" s="3">
        <v>232233.13899999994</v>
      </c>
      <c r="G245" s="3">
        <v>130</v>
      </c>
      <c r="H245" s="3">
        <v>0</v>
      </c>
      <c r="I245" s="3">
        <v>50.934615384615384</v>
      </c>
      <c r="J245" s="3">
        <v>40.584615384615375</v>
      </c>
      <c r="K245" s="3">
        <f t="shared" si="25"/>
        <v>130</v>
      </c>
      <c r="L245" s="5">
        <f t="shared" si="26"/>
        <v>0</v>
      </c>
      <c r="M245" s="5">
        <f t="shared" si="27"/>
        <v>55.978229704762349</v>
      </c>
      <c r="N245" s="5">
        <f t="shared" si="28"/>
        <v>7.4583922116026198</v>
      </c>
      <c r="O245" s="5">
        <f t="shared" si="29"/>
        <v>7.4583922116026198</v>
      </c>
      <c r="P245" s="5">
        <f t="shared" si="30"/>
        <v>86.70621479136868</v>
      </c>
      <c r="Q245" s="5">
        <f t="shared" si="31"/>
        <v>13.32373719379714</v>
      </c>
    </row>
    <row r="246" spans="1:17" x14ac:dyDescent="0.2">
      <c r="A246" t="str">
        <f t="shared" si="24"/>
        <v>Nebraska_2010</v>
      </c>
      <c r="B246" t="s">
        <v>32</v>
      </c>
      <c r="C246">
        <v>2010</v>
      </c>
      <c r="D246" s="3">
        <v>1790032</v>
      </c>
      <c r="E246" s="3">
        <v>1549562.567</v>
      </c>
      <c r="F246" s="3">
        <v>240049.66699999999</v>
      </c>
      <c r="G246" s="3">
        <v>139</v>
      </c>
      <c r="H246" s="3">
        <v>0</v>
      </c>
      <c r="I246" s="3">
        <v>50.68</v>
      </c>
      <c r="J246" s="3">
        <v>36.178947368421056</v>
      </c>
      <c r="K246" s="3">
        <f t="shared" si="25"/>
        <v>139</v>
      </c>
      <c r="L246" s="5">
        <f t="shared" si="26"/>
        <v>0</v>
      </c>
      <c r="M246" s="5">
        <f t="shared" si="27"/>
        <v>57.904683533678892</v>
      </c>
      <c r="N246" s="5">
        <f t="shared" si="28"/>
        <v>7.765224308839171</v>
      </c>
      <c r="O246" s="5">
        <f t="shared" si="29"/>
        <v>7.765224308839171</v>
      </c>
      <c r="P246" s="5">
        <f t="shared" si="30"/>
        <v>86.566193621119623</v>
      </c>
      <c r="Q246" s="5">
        <f t="shared" si="31"/>
        <v>13.410356183576605</v>
      </c>
    </row>
    <row r="247" spans="1:17" x14ac:dyDescent="0.2">
      <c r="A247" t="str">
        <f t="shared" si="24"/>
        <v>Nebraska_2011</v>
      </c>
      <c r="B247" t="s">
        <v>32</v>
      </c>
      <c r="C247">
        <v>2011</v>
      </c>
      <c r="D247" s="3">
        <v>1817825</v>
      </c>
      <c r="E247" s="3">
        <v>1574317.1110000003</v>
      </c>
      <c r="F247" s="3">
        <v>245220.82600000009</v>
      </c>
      <c r="G247" s="3">
        <v>189</v>
      </c>
      <c r="H247" s="3">
        <v>0</v>
      </c>
      <c r="I247" s="3">
        <v>51.120000000000012</v>
      </c>
      <c r="J247" s="3">
        <v>33.56</v>
      </c>
      <c r="K247" s="3">
        <f t="shared" si="25"/>
        <v>189</v>
      </c>
      <c r="L247" s="5">
        <f t="shared" si="26"/>
        <v>0</v>
      </c>
      <c r="M247" s="5">
        <f t="shared" si="27"/>
        <v>77.073388538378026</v>
      </c>
      <c r="N247" s="5">
        <f t="shared" si="28"/>
        <v>10.397040419182265</v>
      </c>
      <c r="O247" s="5">
        <f t="shared" si="29"/>
        <v>10.397040419182265</v>
      </c>
      <c r="P247" s="5">
        <f t="shared" si="30"/>
        <v>86.604437225805569</v>
      </c>
      <c r="Q247" s="5">
        <f t="shared" si="31"/>
        <v>13.489792801837366</v>
      </c>
    </row>
    <row r="248" spans="1:17" x14ac:dyDescent="0.2">
      <c r="A248" t="str">
        <f t="shared" si="24"/>
        <v>Nebraska_2012</v>
      </c>
      <c r="B248" t="s">
        <v>32</v>
      </c>
      <c r="C248">
        <v>2012</v>
      </c>
      <c r="D248" s="3">
        <v>1777623</v>
      </c>
      <c r="E248" s="3">
        <v>1539115.8030000003</v>
      </c>
      <c r="F248" s="3">
        <v>238401.03799999985</v>
      </c>
      <c r="G248" s="3">
        <v>168</v>
      </c>
      <c r="H248" s="3">
        <v>0</v>
      </c>
      <c r="I248" s="3">
        <v>53.240000000000009</v>
      </c>
      <c r="J248" s="3">
        <v>37.355000000000004</v>
      </c>
      <c r="K248" s="3">
        <f t="shared" si="25"/>
        <v>168</v>
      </c>
      <c r="L248" s="5">
        <f t="shared" si="26"/>
        <v>0</v>
      </c>
      <c r="M248" s="5">
        <f t="shared" si="27"/>
        <v>70.469491831658928</v>
      </c>
      <c r="N248" s="5">
        <f t="shared" si="28"/>
        <v>9.4508228122610927</v>
      </c>
      <c r="O248" s="5">
        <f t="shared" si="29"/>
        <v>9.4508228122610927</v>
      </c>
      <c r="P248" s="5">
        <f t="shared" si="30"/>
        <v>86.582802033952106</v>
      </c>
      <c r="Q248" s="5">
        <f t="shared" si="31"/>
        <v>13.411226002363822</v>
      </c>
    </row>
    <row r="249" spans="1:17" x14ac:dyDescent="0.2">
      <c r="A249" t="str">
        <f t="shared" si="24"/>
        <v>Nebraska_2013</v>
      </c>
      <c r="B249" t="s">
        <v>32</v>
      </c>
      <c r="C249">
        <v>2013</v>
      </c>
      <c r="D249" s="3">
        <v>1810303</v>
      </c>
      <c r="E249" s="3">
        <v>1565374.2280000004</v>
      </c>
      <c r="F249" s="3">
        <v>245056.95900000009</v>
      </c>
      <c r="G249" s="3">
        <v>208</v>
      </c>
      <c r="H249" s="3">
        <v>0</v>
      </c>
      <c r="I249" s="3">
        <v>52.370000000000005</v>
      </c>
      <c r="J249" s="3">
        <v>39.200000000000003</v>
      </c>
      <c r="K249" s="3">
        <f t="shared" si="25"/>
        <v>208</v>
      </c>
      <c r="L249" s="5">
        <f t="shared" si="26"/>
        <v>0</v>
      </c>
      <c r="M249" s="5">
        <f t="shared" si="27"/>
        <v>84.878226208626018</v>
      </c>
      <c r="N249" s="5">
        <f t="shared" si="28"/>
        <v>11.489789278369422</v>
      </c>
      <c r="O249" s="5">
        <f t="shared" si="29"/>
        <v>11.489789278369422</v>
      </c>
      <c r="P249" s="5">
        <f t="shared" si="30"/>
        <v>86.470288564952952</v>
      </c>
      <c r="Q249" s="5">
        <f t="shared" si="31"/>
        <v>13.53679240436546</v>
      </c>
    </row>
    <row r="250" spans="1:17" x14ac:dyDescent="0.2">
      <c r="A250" t="str">
        <f t="shared" si="24"/>
        <v>Nebraska_2014</v>
      </c>
      <c r="B250" t="s">
        <v>32</v>
      </c>
      <c r="C250">
        <v>2014</v>
      </c>
      <c r="D250" s="3">
        <v>1854867</v>
      </c>
      <c r="E250" s="3">
        <v>1595842.5400000003</v>
      </c>
      <c r="F250" s="3">
        <v>261357.28299999997</v>
      </c>
      <c r="G250" s="3">
        <v>187</v>
      </c>
      <c r="H250" s="3">
        <v>0</v>
      </c>
      <c r="I250" s="3">
        <v>54.15</v>
      </c>
      <c r="J250" s="3">
        <v>39.05238095238095</v>
      </c>
      <c r="K250" s="3">
        <f t="shared" si="25"/>
        <v>187</v>
      </c>
      <c r="L250" s="5">
        <f t="shared" si="26"/>
        <v>0</v>
      </c>
      <c r="M250" s="5">
        <f t="shared" si="27"/>
        <v>71.549565351121288</v>
      </c>
      <c r="N250" s="5">
        <f t="shared" si="28"/>
        <v>10.081585364341487</v>
      </c>
      <c r="O250" s="5">
        <f t="shared" si="29"/>
        <v>10.081585364341487</v>
      </c>
      <c r="P250" s="5">
        <f t="shared" si="30"/>
        <v>86.03541601635051</v>
      </c>
      <c r="Q250" s="5">
        <f t="shared" si="31"/>
        <v>14.090351653245218</v>
      </c>
    </row>
    <row r="251" spans="1:17" x14ac:dyDescent="0.2">
      <c r="A251" t="str">
        <f t="shared" si="24"/>
        <v>Nebraska_2015</v>
      </c>
      <c r="B251" t="s">
        <v>32</v>
      </c>
      <c r="C251">
        <v>2015</v>
      </c>
      <c r="D251" s="3">
        <v>1930224</v>
      </c>
      <c r="E251" s="3">
        <v>1652199.9610000006</v>
      </c>
      <c r="F251" s="3">
        <v>276998.614</v>
      </c>
      <c r="G251" s="3">
        <v>208</v>
      </c>
      <c r="H251" s="3">
        <v>0</v>
      </c>
      <c r="I251" s="3">
        <v>48.4</v>
      </c>
      <c r="J251" s="3">
        <v>38.050000000000004</v>
      </c>
      <c r="K251" s="3">
        <f t="shared" si="25"/>
        <v>208</v>
      </c>
      <c r="L251" s="5">
        <f t="shared" si="26"/>
        <v>0</v>
      </c>
      <c r="M251" s="5">
        <f t="shared" si="27"/>
        <v>75.090628431808682</v>
      </c>
      <c r="N251" s="5">
        <f t="shared" si="28"/>
        <v>10.775951392170027</v>
      </c>
      <c r="O251" s="5">
        <f t="shared" si="29"/>
        <v>10.775951392170027</v>
      </c>
      <c r="P251" s="5">
        <f t="shared" si="30"/>
        <v>85.596281105198173</v>
      </c>
      <c r="Q251" s="5">
        <f t="shared" si="31"/>
        <v>14.350594231550328</v>
      </c>
    </row>
    <row r="252" spans="1:17" x14ac:dyDescent="0.2">
      <c r="A252" t="str">
        <f t="shared" si="24"/>
        <v>Nebraska_2016</v>
      </c>
      <c r="B252" t="s">
        <v>32</v>
      </c>
      <c r="C252">
        <v>2016</v>
      </c>
      <c r="D252" s="3">
        <v>1939639</v>
      </c>
      <c r="E252" s="3">
        <v>1656227.9219999993</v>
      </c>
      <c r="F252" s="3">
        <v>283440.31599999993</v>
      </c>
      <c r="G252" s="3">
        <v>187</v>
      </c>
      <c r="H252" s="3">
        <v>0</v>
      </c>
      <c r="I252" s="3">
        <v>51.17</v>
      </c>
      <c r="J252" s="3">
        <v>36.254545454545458</v>
      </c>
      <c r="K252" s="3">
        <f t="shared" si="25"/>
        <v>187</v>
      </c>
      <c r="L252" s="5">
        <f t="shared" si="26"/>
        <v>0</v>
      </c>
      <c r="M252" s="5">
        <f t="shared" si="27"/>
        <v>65.975088737905608</v>
      </c>
      <c r="N252" s="5">
        <f t="shared" si="28"/>
        <v>9.6409692731482508</v>
      </c>
      <c r="O252" s="5">
        <f t="shared" si="29"/>
        <v>9.6409692731482508</v>
      </c>
      <c r="P252" s="5">
        <f t="shared" si="30"/>
        <v>85.388462595359201</v>
      </c>
      <c r="Q252" s="5">
        <f t="shared" si="31"/>
        <v>14.613044798542404</v>
      </c>
    </row>
    <row r="253" spans="1:17" x14ac:dyDescent="0.2">
      <c r="A253" t="str">
        <f t="shared" si="24"/>
        <v>Nebraska_2017</v>
      </c>
      <c r="B253" t="s">
        <v>32</v>
      </c>
      <c r="C253">
        <v>2017</v>
      </c>
      <c r="D253" s="3">
        <v>1837106</v>
      </c>
      <c r="E253" s="3">
        <v>1569886</v>
      </c>
      <c r="F253" s="3">
        <v>267220</v>
      </c>
      <c r="G253" s="3">
        <v>243</v>
      </c>
      <c r="H253" s="3">
        <v>0</v>
      </c>
      <c r="I253" s="3">
        <v>47.52</v>
      </c>
      <c r="J253" s="3">
        <v>34.031818181818181</v>
      </c>
      <c r="K253" s="3">
        <f t="shared" si="25"/>
        <v>243</v>
      </c>
      <c r="L253" s="5">
        <f t="shared" si="26"/>
        <v>0</v>
      </c>
      <c r="M253" s="5">
        <f t="shared" si="27"/>
        <v>90.936307162637519</v>
      </c>
      <c r="N253" s="5">
        <f t="shared" si="28"/>
        <v>13.227326022559394</v>
      </c>
      <c r="O253" s="5">
        <f t="shared" si="29"/>
        <v>13.227326022559394</v>
      </c>
      <c r="P253" s="5">
        <f t="shared" si="30"/>
        <v>85.454296050418435</v>
      </c>
      <c r="Q253" s="5">
        <f t="shared" si="31"/>
        <v>14.54570394958157</v>
      </c>
    </row>
    <row r="254" spans="1:17" x14ac:dyDescent="0.2">
      <c r="A254" t="str">
        <f t="shared" si="24"/>
        <v>Nevada_2009</v>
      </c>
      <c r="B254" t="s">
        <v>33</v>
      </c>
      <c r="C254">
        <v>2009</v>
      </c>
      <c r="D254" s="3">
        <v>2534911</v>
      </c>
      <c r="E254" s="3">
        <v>2250670.7129999995</v>
      </c>
      <c r="F254" s="3">
        <v>287539.783</v>
      </c>
      <c r="G254" s="3">
        <v>271</v>
      </c>
      <c r="H254" s="3">
        <v>10</v>
      </c>
      <c r="I254" s="3">
        <v>41.332142857142863</v>
      </c>
      <c r="J254" s="3">
        <v>25.864285714285717</v>
      </c>
      <c r="K254" s="3">
        <f t="shared" si="25"/>
        <v>281</v>
      </c>
      <c r="L254" s="5">
        <f t="shared" si="26"/>
        <v>0.44431199740768129</v>
      </c>
      <c r="M254" s="5">
        <f t="shared" si="27"/>
        <v>94.247827960557373</v>
      </c>
      <c r="N254" s="5">
        <f t="shared" si="28"/>
        <v>11.085201807874123</v>
      </c>
      <c r="O254" s="5">
        <f t="shared" si="29"/>
        <v>11.085201807874123</v>
      </c>
      <c r="P254" s="5">
        <f t="shared" si="30"/>
        <v>88.78697173194638</v>
      </c>
      <c r="Q254" s="5">
        <f t="shared" si="31"/>
        <v>11.343190470986949</v>
      </c>
    </row>
    <row r="255" spans="1:17" x14ac:dyDescent="0.2">
      <c r="A255" t="str">
        <f t="shared" si="24"/>
        <v>Nevada_2010</v>
      </c>
      <c r="B255" t="s">
        <v>33</v>
      </c>
      <c r="C255">
        <v>2010</v>
      </c>
      <c r="D255" s="3">
        <v>2633331</v>
      </c>
      <c r="E255" s="3">
        <v>2331275.6850000005</v>
      </c>
      <c r="F255" s="3">
        <v>301759.87199999992</v>
      </c>
      <c r="G255" s="3">
        <v>233</v>
      </c>
      <c r="H255" s="3">
        <v>0</v>
      </c>
      <c r="I255" s="3">
        <v>49.87777777777778</v>
      </c>
      <c r="J255" s="3">
        <v>28.900000000000002</v>
      </c>
      <c r="K255" s="3">
        <f t="shared" si="25"/>
        <v>233</v>
      </c>
      <c r="L255" s="5">
        <f t="shared" si="26"/>
        <v>0</v>
      </c>
      <c r="M255" s="5">
        <f t="shared" si="27"/>
        <v>77.213712497863227</v>
      </c>
      <c r="N255" s="5">
        <f t="shared" si="28"/>
        <v>8.8481091059194608</v>
      </c>
      <c r="O255" s="5">
        <f t="shared" si="29"/>
        <v>8.8481091059194608</v>
      </c>
      <c r="P255" s="5">
        <f t="shared" si="30"/>
        <v>88.529534836296705</v>
      </c>
      <c r="Q255" s="5">
        <f t="shared" si="31"/>
        <v>11.459245799331716</v>
      </c>
    </row>
    <row r="256" spans="1:17" x14ac:dyDescent="0.2">
      <c r="A256" t="str">
        <f t="shared" si="24"/>
        <v>Nevada_2011</v>
      </c>
      <c r="B256" t="s">
        <v>33</v>
      </c>
      <c r="C256">
        <v>2011</v>
      </c>
      <c r="D256" s="3">
        <v>2671338</v>
      </c>
      <c r="E256" s="3">
        <v>2357980.6529999995</v>
      </c>
      <c r="F256" s="3">
        <v>315101.92700000003</v>
      </c>
      <c r="G256" s="3">
        <v>240</v>
      </c>
      <c r="H256" s="3">
        <v>0</v>
      </c>
      <c r="I256" s="3">
        <v>39.839999999999996</v>
      </c>
      <c r="J256" s="3">
        <v>27.357894736842102</v>
      </c>
      <c r="K256" s="3">
        <f t="shared" si="25"/>
        <v>240</v>
      </c>
      <c r="L256" s="5">
        <f t="shared" si="26"/>
        <v>0</v>
      </c>
      <c r="M256" s="5">
        <f t="shared" si="27"/>
        <v>76.165830620261488</v>
      </c>
      <c r="N256" s="5">
        <f t="shared" si="28"/>
        <v>8.9842618193579398</v>
      </c>
      <c r="O256" s="5">
        <f t="shared" si="29"/>
        <v>8.9842618193579398</v>
      </c>
      <c r="P256" s="5">
        <f t="shared" si="30"/>
        <v>88.269648131385821</v>
      </c>
      <c r="Q256" s="5">
        <f t="shared" si="31"/>
        <v>11.795659216467554</v>
      </c>
    </row>
    <row r="257" spans="1:17" x14ac:dyDescent="0.2">
      <c r="A257" t="str">
        <f t="shared" si="24"/>
        <v>Nevada_2012</v>
      </c>
      <c r="B257" t="s">
        <v>33</v>
      </c>
      <c r="C257">
        <v>2012</v>
      </c>
      <c r="D257" s="3">
        <v>2685965</v>
      </c>
      <c r="E257" s="3">
        <v>2360156.753</v>
      </c>
      <c r="F257" s="3">
        <v>327820.11799999996</v>
      </c>
      <c r="G257" s="3">
        <v>314</v>
      </c>
      <c r="H257" s="3">
        <v>0</v>
      </c>
      <c r="I257" s="3">
        <v>43.766666666666666</v>
      </c>
      <c r="J257" s="3">
        <v>29.574999999999999</v>
      </c>
      <c r="K257" s="3">
        <f t="shared" si="25"/>
        <v>314</v>
      </c>
      <c r="L257" s="5">
        <f t="shared" si="26"/>
        <v>0</v>
      </c>
      <c r="M257" s="5">
        <f t="shared" si="27"/>
        <v>95.784237378622393</v>
      </c>
      <c r="N257" s="5">
        <f t="shared" si="28"/>
        <v>11.690398050607509</v>
      </c>
      <c r="O257" s="5">
        <f t="shared" si="29"/>
        <v>11.690398050607509</v>
      </c>
      <c r="P257" s="5">
        <f t="shared" si="30"/>
        <v>87.869974217832322</v>
      </c>
      <c r="Q257" s="5">
        <f t="shared" si="31"/>
        <v>12.204928880309311</v>
      </c>
    </row>
    <row r="258" spans="1:17" x14ac:dyDescent="0.2">
      <c r="A258" t="str">
        <f t="shared" si="24"/>
        <v>Nevada_2013</v>
      </c>
      <c r="B258" t="s">
        <v>33</v>
      </c>
      <c r="C258">
        <v>2013</v>
      </c>
      <c r="D258" s="3">
        <v>2727982</v>
      </c>
      <c r="E258" s="3">
        <v>2381034.0389999999</v>
      </c>
      <c r="F258" s="3">
        <v>344453.005</v>
      </c>
      <c r="G258" s="3">
        <v>253</v>
      </c>
      <c r="H258" s="3">
        <v>23</v>
      </c>
      <c r="I258" s="3">
        <v>44.599999999999994</v>
      </c>
      <c r="J258" s="3">
        <v>27.176190476190474</v>
      </c>
      <c r="K258" s="3">
        <f t="shared" si="25"/>
        <v>276</v>
      </c>
      <c r="L258" s="5">
        <f t="shared" si="26"/>
        <v>0.96596687083313049</v>
      </c>
      <c r="M258" s="5">
        <f t="shared" si="27"/>
        <v>73.449787439073148</v>
      </c>
      <c r="N258" s="5">
        <f t="shared" si="28"/>
        <v>10.117368809618245</v>
      </c>
      <c r="O258" s="5">
        <f t="shared" si="29"/>
        <v>10.117368809618245</v>
      </c>
      <c r="P258" s="5">
        <f t="shared" si="30"/>
        <v>87.281882321804176</v>
      </c>
      <c r="Q258" s="5">
        <f t="shared" si="31"/>
        <v>12.626659743356077</v>
      </c>
    </row>
    <row r="259" spans="1:17" x14ac:dyDescent="0.2">
      <c r="A259" t="str">
        <f t="shared" ref="A259:A322" si="32">B259&amp;"_"&amp;C259</f>
        <v>Nevada_2014</v>
      </c>
      <c r="B259" t="s">
        <v>33</v>
      </c>
      <c r="C259">
        <v>2014</v>
      </c>
      <c r="D259" s="3">
        <v>2767742</v>
      </c>
      <c r="E259" s="3">
        <v>2402744.8769999999</v>
      </c>
      <c r="F259" s="3">
        <v>364642.15999999986</v>
      </c>
      <c r="G259" s="3">
        <v>488</v>
      </c>
      <c r="H259" s="3">
        <v>32</v>
      </c>
      <c r="I259" s="3">
        <v>50.755555555555553</v>
      </c>
      <c r="J259" s="3">
        <v>29.719999999999992</v>
      </c>
      <c r="K259" s="3">
        <f t="shared" ref="K259:K322" si="33">G259+H259</f>
        <v>520</v>
      </c>
      <c r="L259" s="5">
        <f t="shared" ref="L259:L322" si="34">IF(E259=0,"",H259/E259*100000)</f>
        <v>1.3318101437367045</v>
      </c>
      <c r="M259" s="5">
        <f t="shared" ref="M259:M322" si="35">IF(F259=0,"",G259/F259*100000)</f>
        <v>133.8298347069906</v>
      </c>
      <c r="N259" s="5">
        <f t="shared" ref="N259:N322" si="36">IF(D259=0,"",K259/D259*100000)</f>
        <v>18.787878349932903</v>
      </c>
      <c r="O259" s="5">
        <f t="shared" ref="O259:O322" si="37">N259</f>
        <v>18.787878349932903</v>
      </c>
      <c r="P259" s="5">
        <f t="shared" ref="P259:P322" si="38">IF(D259=0,"",E259/D259*100)</f>
        <v>86.812458567308653</v>
      </c>
      <c r="Q259" s="5">
        <f t="shared" ref="Q259:Q322" si="39">IF(D259=0,"",F259/D259*100)</f>
        <v>13.174716429493785</v>
      </c>
    </row>
    <row r="260" spans="1:17" x14ac:dyDescent="0.2">
      <c r="A260" t="str">
        <f t="shared" si="32"/>
        <v>Nevada_2015</v>
      </c>
      <c r="B260" t="s">
        <v>33</v>
      </c>
      <c r="C260">
        <v>2015</v>
      </c>
      <c r="D260" s="3">
        <v>2892387</v>
      </c>
      <c r="E260" s="3">
        <v>2497603.4929999998</v>
      </c>
      <c r="F260" s="3">
        <v>391236.9420000001</v>
      </c>
      <c r="G260" s="3">
        <v>422</v>
      </c>
      <c r="H260" s="3">
        <v>32</v>
      </c>
      <c r="I260" s="3">
        <v>48.900000000000006</v>
      </c>
      <c r="J260" s="3">
        <v>28.355</v>
      </c>
      <c r="K260" s="3">
        <f t="shared" si="33"/>
        <v>454</v>
      </c>
      <c r="L260" s="5">
        <f t="shared" si="34"/>
        <v>1.2812281889293466</v>
      </c>
      <c r="M260" s="5">
        <f t="shared" si="35"/>
        <v>107.86302485719763</v>
      </c>
      <c r="N260" s="5">
        <f t="shared" si="36"/>
        <v>15.696378112610795</v>
      </c>
      <c r="O260" s="5">
        <f t="shared" si="37"/>
        <v>15.696378112610795</v>
      </c>
      <c r="P260" s="5">
        <f t="shared" si="38"/>
        <v>86.350944496708067</v>
      </c>
      <c r="Q260" s="5">
        <f t="shared" si="39"/>
        <v>13.526438267078372</v>
      </c>
    </row>
    <row r="261" spans="1:17" x14ac:dyDescent="0.2">
      <c r="A261" t="str">
        <f t="shared" si="32"/>
        <v>Nevada_2016</v>
      </c>
      <c r="B261" t="s">
        <v>33</v>
      </c>
      <c r="C261">
        <v>2016</v>
      </c>
      <c r="D261" s="3">
        <v>2941149</v>
      </c>
      <c r="E261" s="3">
        <v>2516701.4510000008</v>
      </c>
      <c r="F261" s="3">
        <v>422284.65499999997</v>
      </c>
      <c r="G261" s="3">
        <v>327</v>
      </c>
      <c r="H261" s="3">
        <v>47</v>
      </c>
      <c r="I261" s="3">
        <v>48.966666666666669</v>
      </c>
      <c r="J261" s="3">
        <v>26.689999999999998</v>
      </c>
      <c r="K261" s="3">
        <f t="shared" si="33"/>
        <v>374</v>
      </c>
      <c r="L261" s="5">
        <f t="shared" si="34"/>
        <v>1.8675238567262218</v>
      </c>
      <c r="M261" s="5">
        <f t="shared" si="35"/>
        <v>77.435918195985593</v>
      </c>
      <c r="N261" s="5">
        <f t="shared" si="36"/>
        <v>12.716118768549297</v>
      </c>
      <c r="O261" s="5">
        <f t="shared" si="37"/>
        <v>12.716118768549297</v>
      </c>
      <c r="P261" s="5">
        <f t="shared" si="38"/>
        <v>85.568648545177439</v>
      </c>
      <c r="Q261" s="5">
        <f t="shared" si="39"/>
        <v>14.357812371967555</v>
      </c>
    </row>
    <row r="262" spans="1:17" x14ac:dyDescent="0.2">
      <c r="A262" t="str">
        <f t="shared" si="32"/>
        <v>Nevada_2017</v>
      </c>
      <c r="B262" t="s">
        <v>33</v>
      </c>
      <c r="C262">
        <v>2017</v>
      </c>
      <c r="D262" s="3">
        <v>2871151</v>
      </c>
      <c r="E262" s="3">
        <v>2449461</v>
      </c>
      <c r="F262" s="3">
        <v>421690</v>
      </c>
      <c r="G262" s="3">
        <v>408</v>
      </c>
      <c r="H262" s="3">
        <v>49</v>
      </c>
      <c r="I262" s="3">
        <v>53.288888888888891</v>
      </c>
      <c r="J262" s="3">
        <v>26.395238095238092</v>
      </c>
      <c r="K262" s="3">
        <f t="shared" si="33"/>
        <v>457</v>
      </c>
      <c r="L262" s="5">
        <f t="shared" si="34"/>
        <v>2.0004400968213005</v>
      </c>
      <c r="M262" s="5">
        <f t="shared" si="35"/>
        <v>96.753539329839455</v>
      </c>
      <c r="N262" s="5">
        <f t="shared" si="36"/>
        <v>15.916961525186242</v>
      </c>
      <c r="O262" s="5">
        <f t="shared" si="37"/>
        <v>15.916961525186242</v>
      </c>
      <c r="P262" s="5">
        <f t="shared" si="38"/>
        <v>85.312858849987336</v>
      </c>
      <c r="Q262" s="5">
        <f t="shared" si="39"/>
        <v>14.687141150012661</v>
      </c>
    </row>
    <row r="263" spans="1:17" x14ac:dyDescent="0.2">
      <c r="A263" t="str">
        <f t="shared" si="32"/>
        <v>New Hampshire_2009</v>
      </c>
      <c r="B263" t="s">
        <v>34</v>
      </c>
      <c r="C263">
        <v>2009</v>
      </c>
      <c r="D263" s="3">
        <v>1315419</v>
      </c>
      <c r="E263" s="3">
        <v>1146953.0279999999</v>
      </c>
      <c r="F263" s="3">
        <v>169178.11799999999</v>
      </c>
      <c r="G263" s="3">
        <v>49</v>
      </c>
      <c r="H263" s="3">
        <v>0</v>
      </c>
      <c r="I263" s="3">
        <v>52.638461538461527</v>
      </c>
      <c r="J263" s="3">
        <v>42.353571428571421</v>
      </c>
      <c r="K263" s="3">
        <f t="shared" si="33"/>
        <v>49</v>
      </c>
      <c r="L263" s="5">
        <f t="shared" si="34"/>
        <v>0</v>
      </c>
      <c r="M263" s="5">
        <f t="shared" si="35"/>
        <v>28.963556622612387</v>
      </c>
      <c r="N263" s="5">
        <f t="shared" si="36"/>
        <v>3.7250488247470961</v>
      </c>
      <c r="O263" s="5">
        <f t="shared" si="37"/>
        <v>3.7250488247470961</v>
      </c>
      <c r="P263" s="5">
        <f t="shared" si="38"/>
        <v>87.192980183500453</v>
      </c>
      <c r="Q263" s="5">
        <f t="shared" si="39"/>
        <v>12.861158155690317</v>
      </c>
    </row>
    <row r="264" spans="1:17" x14ac:dyDescent="0.2">
      <c r="A264" t="str">
        <f t="shared" si="32"/>
        <v>New Hampshire_2010</v>
      </c>
      <c r="B264" t="s">
        <v>34</v>
      </c>
      <c r="C264">
        <v>2010</v>
      </c>
      <c r="D264" s="3">
        <v>1313939</v>
      </c>
      <c r="E264" s="3">
        <v>1143077.3499999999</v>
      </c>
      <c r="F264" s="3">
        <v>170318.71799999999</v>
      </c>
      <c r="G264" s="3">
        <v>63</v>
      </c>
      <c r="H264" s="3">
        <v>0</v>
      </c>
      <c r="I264" s="3">
        <v>46.86</v>
      </c>
      <c r="J264" s="3">
        <v>35.778947368421058</v>
      </c>
      <c r="K264" s="3">
        <f t="shared" si="33"/>
        <v>63</v>
      </c>
      <c r="L264" s="5">
        <f t="shared" si="34"/>
        <v>0</v>
      </c>
      <c r="M264" s="5">
        <f t="shared" si="35"/>
        <v>36.989475226087599</v>
      </c>
      <c r="N264" s="5">
        <f t="shared" si="36"/>
        <v>4.7947431349552758</v>
      </c>
      <c r="O264" s="5">
        <f t="shared" si="37"/>
        <v>4.7947431349552758</v>
      </c>
      <c r="P264" s="5">
        <f t="shared" si="38"/>
        <v>86.996226613259807</v>
      </c>
      <c r="Q264" s="5">
        <f t="shared" si="39"/>
        <v>12.962452442617197</v>
      </c>
    </row>
    <row r="265" spans="1:17" x14ac:dyDescent="0.2">
      <c r="A265" t="str">
        <f t="shared" si="32"/>
        <v>New Hampshire_2011</v>
      </c>
      <c r="B265" t="s">
        <v>34</v>
      </c>
      <c r="C265">
        <v>2011</v>
      </c>
      <c r="D265" s="3">
        <v>1332919</v>
      </c>
      <c r="E265" s="3">
        <v>1157381.7860000003</v>
      </c>
      <c r="F265" s="3">
        <v>176033.11299999998</v>
      </c>
      <c r="G265" s="3">
        <v>113</v>
      </c>
      <c r="H265" s="3">
        <v>0</v>
      </c>
      <c r="I265" s="3">
        <v>47.949999999999996</v>
      </c>
      <c r="J265" s="3">
        <v>35.336842105263159</v>
      </c>
      <c r="K265" s="3">
        <f t="shared" si="33"/>
        <v>113</v>
      </c>
      <c r="L265" s="5">
        <f t="shared" si="34"/>
        <v>0</v>
      </c>
      <c r="M265" s="5">
        <f t="shared" si="35"/>
        <v>64.192468152284505</v>
      </c>
      <c r="N265" s="5">
        <f t="shared" si="36"/>
        <v>8.4776344248975377</v>
      </c>
      <c r="O265" s="5">
        <f t="shared" si="37"/>
        <v>8.4776344248975377</v>
      </c>
      <c r="P265" s="5">
        <f t="shared" si="38"/>
        <v>86.830616564097312</v>
      </c>
      <c r="Q265" s="5">
        <f t="shared" si="39"/>
        <v>13.2065874220414</v>
      </c>
    </row>
    <row r="266" spans="1:17" x14ac:dyDescent="0.2">
      <c r="A266" t="str">
        <f t="shared" si="32"/>
        <v>New Hampshire_2012</v>
      </c>
      <c r="B266" t="s">
        <v>34</v>
      </c>
      <c r="C266">
        <v>2012</v>
      </c>
      <c r="D266" s="3">
        <v>1317474</v>
      </c>
      <c r="E266" s="3">
        <v>1137306.3239999998</v>
      </c>
      <c r="F266" s="3">
        <v>181157.38499999995</v>
      </c>
      <c r="G266" s="3">
        <v>98</v>
      </c>
      <c r="H266" s="3">
        <v>0</v>
      </c>
      <c r="I266" s="3">
        <v>50.94</v>
      </c>
      <c r="J266" s="3">
        <v>36.239999999999995</v>
      </c>
      <c r="K266" s="3">
        <f t="shared" si="33"/>
        <v>98</v>
      </c>
      <c r="L266" s="5">
        <f t="shared" si="34"/>
        <v>0</v>
      </c>
      <c r="M266" s="5">
        <f t="shared" si="35"/>
        <v>54.09660776456893</v>
      </c>
      <c r="N266" s="5">
        <f t="shared" si="36"/>
        <v>7.4384769642512873</v>
      </c>
      <c r="O266" s="5">
        <f t="shared" si="37"/>
        <v>7.4384769642512873</v>
      </c>
      <c r="P266" s="5">
        <f t="shared" si="38"/>
        <v>86.324764207870501</v>
      </c>
      <c r="Q266" s="5">
        <f t="shared" si="39"/>
        <v>13.750357502311235</v>
      </c>
    </row>
    <row r="267" spans="1:17" x14ac:dyDescent="0.2">
      <c r="A267" t="str">
        <f t="shared" si="32"/>
        <v>New Hampshire_2013</v>
      </c>
      <c r="B267" t="s">
        <v>34</v>
      </c>
      <c r="C267">
        <v>2013</v>
      </c>
      <c r="D267" s="3">
        <v>1319171</v>
      </c>
      <c r="E267" s="3">
        <v>1132052.095</v>
      </c>
      <c r="F267" s="3">
        <v>186859.56199999998</v>
      </c>
      <c r="G267" s="3">
        <v>80</v>
      </c>
      <c r="H267" s="3">
        <v>0</v>
      </c>
      <c r="I267" s="3">
        <v>44.590909090909093</v>
      </c>
      <c r="J267" s="3">
        <v>38.805</v>
      </c>
      <c r="K267" s="3">
        <f t="shared" si="33"/>
        <v>80</v>
      </c>
      <c r="L267" s="5">
        <f t="shared" si="34"/>
        <v>0</v>
      </c>
      <c r="M267" s="5">
        <f t="shared" si="35"/>
        <v>42.812901380984727</v>
      </c>
      <c r="N267" s="5">
        <f t="shared" si="36"/>
        <v>6.0644146968057964</v>
      </c>
      <c r="O267" s="5">
        <f t="shared" si="37"/>
        <v>6.0644146968057964</v>
      </c>
      <c r="P267" s="5">
        <f t="shared" si="38"/>
        <v>85.815417030847399</v>
      </c>
      <c r="Q267" s="5">
        <f t="shared" si="39"/>
        <v>14.164923425393674</v>
      </c>
    </row>
    <row r="268" spans="1:17" x14ac:dyDescent="0.2">
      <c r="A268" t="str">
        <f t="shared" si="32"/>
        <v>New Hampshire_2014</v>
      </c>
      <c r="B268" t="s">
        <v>34</v>
      </c>
      <c r="C268">
        <v>2014</v>
      </c>
      <c r="D268" s="3">
        <v>1277778</v>
      </c>
      <c r="E268" s="3">
        <v>1091816.0659999999</v>
      </c>
      <c r="F268" s="3">
        <v>186227.503</v>
      </c>
      <c r="G268" s="3">
        <v>59</v>
      </c>
      <c r="H268" s="3">
        <v>0</v>
      </c>
      <c r="I268" s="3">
        <v>51.339999999999996</v>
      </c>
      <c r="J268" s="3">
        <v>40.440000000000012</v>
      </c>
      <c r="K268" s="3">
        <f t="shared" si="33"/>
        <v>59</v>
      </c>
      <c r="L268" s="5">
        <f t="shared" si="34"/>
        <v>0</v>
      </c>
      <c r="M268" s="5">
        <f t="shared" si="35"/>
        <v>31.681679155629336</v>
      </c>
      <c r="N268" s="5">
        <f t="shared" si="36"/>
        <v>4.6173905013233911</v>
      </c>
      <c r="O268" s="5">
        <f t="shared" si="37"/>
        <v>4.6173905013233911</v>
      </c>
      <c r="P268" s="5">
        <f t="shared" si="38"/>
        <v>85.446459870180874</v>
      </c>
      <c r="Q268" s="5">
        <f t="shared" si="39"/>
        <v>14.574323787074123</v>
      </c>
    </row>
    <row r="269" spans="1:17" x14ac:dyDescent="0.2">
      <c r="A269" t="str">
        <f t="shared" si="32"/>
        <v>New Hampshire_2015</v>
      </c>
      <c r="B269" t="s">
        <v>34</v>
      </c>
      <c r="C269">
        <v>2015</v>
      </c>
      <c r="D269" s="3">
        <v>1244818</v>
      </c>
      <c r="E269" s="3">
        <v>1060674.743</v>
      </c>
      <c r="F269" s="3">
        <v>184193.99400000001</v>
      </c>
      <c r="G269" s="3">
        <v>140</v>
      </c>
      <c r="H269" s="3">
        <v>0</v>
      </c>
      <c r="I269" s="3">
        <v>57.444444444444443</v>
      </c>
      <c r="J269" s="3">
        <v>41.768421052631581</v>
      </c>
      <c r="K269" s="3">
        <f t="shared" si="33"/>
        <v>140</v>
      </c>
      <c r="L269" s="5">
        <f t="shared" si="34"/>
        <v>0</v>
      </c>
      <c r="M269" s="5">
        <f t="shared" si="35"/>
        <v>76.006821373339676</v>
      </c>
      <c r="N269" s="5">
        <f t="shared" si="36"/>
        <v>11.246624004472944</v>
      </c>
      <c r="O269" s="5">
        <f t="shared" si="37"/>
        <v>11.246624004472944</v>
      </c>
      <c r="P269" s="5">
        <f t="shared" si="38"/>
        <v>85.207214468299782</v>
      </c>
      <c r="Q269" s="5">
        <f t="shared" si="39"/>
        <v>14.796861388572466</v>
      </c>
    </row>
    <row r="270" spans="1:17" x14ac:dyDescent="0.2">
      <c r="A270" t="str">
        <f t="shared" si="32"/>
        <v>New Hampshire_2016</v>
      </c>
      <c r="B270" t="s">
        <v>34</v>
      </c>
      <c r="C270">
        <v>2016</v>
      </c>
      <c r="D270" s="3">
        <v>1327503</v>
      </c>
      <c r="E270" s="3">
        <v>1116633.7350000001</v>
      </c>
      <c r="F270" s="3">
        <v>210513.98400000003</v>
      </c>
      <c r="G270" s="3">
        <v>45</v>
      </c>
      <c r="H270" s="3">
        <v>0</v>
      </c>
      <c r="I270" s="3">
        <v>50.510000000000005</v>
      </c>
      <c r="J270" s="3">
        <v>40.030000000000008</v>
      </c>
      <c r="K270" s="3">
        <f t="shared" si="33"/>
        <v>45</v>
      </c>
      <c r="L270" s="5">
        <f t="shared" si="34"/>
        <v>0</v>
      </c>
      <c r="M270" s="5">
        <f t="shared" si="35"/>
        <v>21.376252135345077</v>
      </c>
      <c r="N270" s="5">
        <f t="shared" si="36"/>
        <v>3.3898228478579711</v>
      </c>
      <c r="O270" s="5">
        <f t="shared" si="37"/>
        <v>3.3898228478579711</v>
      </c>
      <c r="P270" s="5">
        <f t="shared" si="38"/>
        <v>84.115345502044065</v>
      </c>
      <c r="Q270" s="5">
        <f t="shared" si="39"/>
        <v>15.857891394595722</v>
      </c>
    </row>
    <row r="271" spans="1:17" x14ac:dyDescent="0.2">
      <c r="A271" t="str">
        <f t="shared" si="32"/>
        <v>New Hampshire_2017</v>
      </c>
      <c r="B271" t="s">
        <v>34</v>
      </c>
      <c r="C271">
        <v>2017</v>
      </c>
      <c r="D271" s="3">
        <v>1375382</v>
      </c>
      <c r="E271" s="3">
        <v>1150082</v>
      </c>
      <c r="F271" s="3">
        <v>225300</v>
      </c>
      <c r="G271" s="3">
        <v>98</v>
      </c>
      <c r="H271" s="3">
        <v>0</v>
      </c>
      <c r="I271" s="3">
        <v>42.870000000000005</v>
      </c>
      <c r="J271" s="3">
        <v>36.89500000000001</v>
      </c>
      <c r="K271" s="3">
        <f t="shared" si="33"/>
        <v>98</v>
      </c>
      <c r="L271" s="5">
        <f t="shared" si="34"/>
        <v>0</v>
      </c>
      <c r="M271" s="5">
        <f t="shared" si="35"/>
        <v>43.497558810474921</v>
      </c>
      <c r="N271" s="5">
        <f t="shared" si="36"/>
        <v>7.1252931912734061</v>
      </c>
      <c r="O271" s="5">
        <f t="shared" si="37"/>
        <v>7.1252931912734061</v>
      </c>
      <c r="P271" s="5">
        <f t="shared" si="38"/>
        <v>83.619096367409199</v>
      </c>
      <c r="Q271" s="5">
        <f t="shared" si="39"/>
        <v>16.380903632590801</v>
      </c>
    </row>
    <row r="272" spans="1:17" x14ac:dyDescent="0.2">
      <c r="A272" t="str">
        <f t="shared" si="32"/>
        <v>New Jersey_2009</v>
      </c>
      <c r="B272" t="s">
        <v>35</v>
      </c>
      <c r="C272">
        <v>2009</v>
      </c>
      <c r="D272" s="3">
        <v>8650548</v>
      </c>
      <c r="E272" s="3">
        <v>7509541.8839999996</v>
      </c>
      <c r="F272" s="3">
        <v>1141421.0090000001</v>
      </c>
      <c r="G272" s="3">
        <v>1074</v>
      </c>
      <c r="H272" s="3">
        <v>69</v>
      </c>
      <c r="I272" s="3">
        <v>44.492307692307691</v>
      </c>
      <c r="J272" s="3">
        <v>37.921428571428578</v>
      </c>
      <c r="K272" s="3">
        <f t="shared" si="33"/>
        <v>1143</v>
      </c>
      <c r="L272" s="5">
        <f t="shared" si="34"/>
        <v>0.91883101613712237</v>
      </c>
      <c r="M272" s="5">
        <f t="shared" si="35"/>
        <v>94.09323917569489</v>
      </c>
      <c r="N272" s="5">
        <f t="shared" si="36"/>
        <v>13.213035752185874</v>
      </c>
      <c r="O272" s="5">
        <f t="shared" si="37"/>
        <v>13.213035752185874</v>
      </c>
      <c r="P272" s="5">
        <f t="shared" si="38"/>
        <v>86.810013469666885</v>
      </c>
      <c r="Q272" s="5">
        <f t="shared" si="39"/>
        <v>13.194782677351771</v>
      </c>
    </row>
    <row r="273" spans="1:17" x14ac:dyDescent="0.2">
      <c r="A273" t="str">
        <f t="shared" si="32"/>
        <v>New Jersey_2010</v>
      </c>
      <c r="B273" t="s">
        <v>35</v>
      </c>
      <c r="C273">
        <v>2010</v>
      </c>
      <c r="D273" s="3">
        <v>8721577</v>
      </c>
      <c r="E273" s="3">
        <v>7565713.5820000004</v>
      </c>
      <c r="F273" s="3">
        <v>1155586.2859999998</v>
      </c>
      <c r="G273" s="3">
        <v>924</v>
      </c>
      <c r="H273" s="3">
        <v>31</v>
      </c>
      <c r="I273" s="3">
        <v>49.910000000000004</v>
      </c>
      <c r="J273" s="3">
        <v>33.950000000000003</v>
      </c>
      <c r="K273" s="3">
        <f t="shared" si="33"/>
        <v>955</v>
      </c>
      <c r="L273" s="5">
        <f t="shared" si="34"/>
        <v>0.40974324052861028</v>
      </c>
      <c r="M273" s="5">
        <f t="shared" si="35"/>
        <v>79.959412048612705</v>
      </c>
      <c r="N273" s="5">
        <f t="shared" si="36"/>
        <v>10.949854596250196</v>
      </c>
      <c r="O273" s="5">
        <f t="shared" si="37"/>
        <v>10.949854596250196</v>
      </c>
      <c r="P273" s="5">
        <f t="shared" si="38"/>
        <v>86.747082345314382</v>
      </c>
      <c r="Q273" s="5">
        <f t="shared" si="39"/>
        <v>13.249740110074129</v>
      </c>
    </row>
    <row r="274" spans="1:17" x14ac:dyDescent="0.2">
      <c r="A274" t="str">
        <f t="shared" si="32"/>
        <v>New Jersey_2011</v>
      </c>
      <c r="B274" t="s">
        <v>35</v>
      </c>
      <c r="C274">
        <v>2011</v>
      </c>
      <c r="D274" s="3">
        <v>8753064</v>
      </c>
      <c r="E274" s="3">
        <v>7576792.1579999998</v>
      </c>
      <c r="F274" s="3">
        <v>1173040.6780000003</v>
      </c>
      <c r="G274" s="3">
        <v>989</v>
      </c>
      <c r="H274" s="3">
        <v>58</v>
      </c>
      <c r="I274" s="3">
        <v>48.38</v>
      </c>
      <c r="J274" s="3">
        <v>35.07</v>
      </c>
      <c r="K274" s="3">
        <f t="shared" si="33"/>
        <v>1047</v>
      </c>
      <c r="L274" s="5">
        <f t="shared" si="34"/>
        <v>0.76549546022270609</v>
      </c>
      <c r="M274" s="5">
        <f t="shared" si="35"/>
        <v>84.310801709469771</v>
      </c>
      <c r="N274" s="5">
        <f t="shared" si="36"/>
        <v>11.961525701171611</v>
      </c>
      <c r="O274" s="5">
        <f t="shared" si="37"/>
        <v>11.961525701171611</v>
      </c>
      <c r="P274" s="5">
        <f t="shared" si="38"/>
        <v>86.561598978369176</v>
      </c>
      <c r="Q274" s="5">
        <f t="shared" si="39"/>
        <v>13.401486359519369</v>
      </c>
    </row>
    <row r="275" spans="1:17" x14ac:dyDescent="0.2">
      <c r="A275" t="str">
        <f t="shared" si="32"/>
        <v>New Jersey_2012</v>
      </c>
      <c r="B275" t="s">
        <v>35</v>
      </c>
      <c r="C275">
        <v>2012</v>
      </c>
      <c r="D275" s="3">
        <v>8793888</v>
      </c>
      <c r="E275" s="3">
        <v>7597577.3549999995</v>
      </c>
      <c r="F275" s="3">
        <v>1198409.213</v>
      </c>
      <c r="G275" s="3">
        <v>952</v>
      </c>
      <c r="H275" s="3">
        <v>23</v>
      </c>
      <c r="I275" s="3">
        <v>47.360000000000007</v>
      </c>
      <c r="J275" s="3">
        <v>35.959999999999994</v>
      </c>
      <c r="K275" s="3">
        <f t="shared" si="33"/>
        <v>975</v>
      </c>
      <c r="L275" s="5">
        <f t="shared" si="34"/>
        <v>0.30272807929837786</v>
      </c>
      <c r="M275" s="5">
        <f t="shared" si="35"/>
        <v>79.438641632004874</v>
      </c>
      <c r="N275" s="5">
        <f t="shared" si="36"/>
        <v>11.08724605089353</v>
      </c>
      <c r="O275" s="5">
        <f t="shared" si="37"/>
        <v>11.08724605089353</v>
      </c>
      <c r="P275" s="5">
        <f t="shared" si="38"/>
        <v>86.396112333930105</v>
      </c>
      <c r="Q275" s="5">
        <f t="shared" si="39"/>
        <v>13.627751604296073</v>
      </c>
    </row>
    <row r="276" spans="1:17" x14ac:dyDescent="0.2">
      <c r="A276" t="str">
        <f t="shared" si="32"/>
        <v>New Jersey_2013</v>
      </c>
      <c r="B276" t="s">
        <v>35</v>
      </c>
      <c r="C276">
        <v>2013</v>
      </c>
      <c r="D276" s="3">
        <v>8832406</v>
      </c>
      <c r="E276" s="3">
        <v>7610468.3040000005</v>
      </c>
      <c r="F276" s="3">
        <v>1221817.905</v>
      </c>
      <c r="G276" s="3">
        <v>1146</v>
      </c>
      <c r="H276" s="3">
        <v>63</v>
      </c>
      <c r="I276" s="3">
        <v>49.489999999999995</v>
      </c>
      <c r="J276" s="3">
        <v>36.4</v>
      </c>
      <c r="K276" s="3">
        <f t="shared" si="33"/>
        <v>1209</v>
      </c>
      <c r="L276" s="5">
        <f t="shared" si="34"/>
        <v>0.82780713989555288</v>
      </c>
      <c r="M276" s="5">
        <f t="shared" si="35"/>
        <v>93.794664107496445</v>
      </c>
      <c r="N276" s="5">
        <f t="shared" si="36"/>
        <v>13.688229458654865</v>
      </c>
      <c r="O276" s="5">
        <f t="shared" si="37"/>
        <v>13.688229458654865</v>
      </c>
      <c r="P276" s="5">
        <f t="shared" si="38"/>
        <v>86.165290680704672</v>
      </c>
      <c r="Q276" s="5">
        <f t="shared" si="39"/>
        <v>13.833353052384595</v>
      </c>
    </row>
    <row r="277" spans="1:17" x14ac:dyDescent="0.2">
      <c r="A277" t="str">
        <f t="shared" si="32"/>
        <v>New Jersey_2014</v>
      </c>
      <c r="B277" t="s">
        <v>35</v>
      </c>
      <c r="C277">
        <v>2014</v>
      </c>
      <c r="D277" s="3">
        <v>8874374</v>
      </c>
      <c r="E277" s="3">
        <v>7630191.6140000001</v>
      </c>
      <c r="F277" s="3">
        <v>1247956.8370000001</v>
      </c>
      <c r="G277" s="3">
        <v>1026</v>
      </c>
      <c r="H277" s="3">
        <v>43</v>
      </c>
      <c r="I277" s="3">
        <v>49.339999999999996</v>
      </c>
      <c r="J277" s="3">
        <v>36.195238095238096</v>
      </c>
      <c r="K277" s="3">
        <f t="shared" si="33"/>
        <v>1069</v>
      </c>
      <c r="L277" s="5">
        <f t="shared" si="34"/>
        <v>0.56355072290849029</v>
      </c>
      <c r="M277" s="5">
        <f t="shared" si="35"/>
        <v>82.214381906543451</v>
      </c>
      <c r="N277" s="5">
        <f t="shared" si="36"/>
        <v>12.045920084053252</v>
      </c>
      <c r="O277" s="5">
        <f t="shared" si="37"/>
        <v>12.045920084053252</v>
      </c>
      <c r="P277" s="5">
        <f t="shared" si="38"/>
        <v>85.980054638220111</v>
      </c>
      <c r="Q277" s="5">
        <f t="shared" si="39"/>
        <v>14.062477387137392</v>
      </c>
    </row>
    <row r="278" spans="1:17" x14ac:dyDescent="0.2">
      <c r="A278" t="str">
        <f t="shared" si="32"/>
        <v>New Jersey_2015</v>
      </c>
      <c r="B278" t="s">
        <v>35</v>
      </c>
      <c r="C278">
        <v>2015</v>
      </c>
      <c r="D278" s="3">
        <v>8904413</v>
      </c>
      <c r="E278" s="3">
        <v>7624172.5720000006</v>
      </c>
      <c r="F278" s="3">
        <v>1279769.193</v>
      </c>
      <c r="G278" s="3">
        <v>1225</v>
      </c>
      <c r="H278" s="3">
        <v>53</v>
      </c>
      <c r="I278" s="3">
        <v>52.277777777777786</v>
      </c>
      <c r="J278" s="3">
        <v>36.185714285714283</v>
      </c>
      <c r="K278" s="3">
        <f t="shared" si="33"/>
        <v>1278</v>
      </c>
      <c r="L278" s="5">
        <f t="shared" si="34"/>
        <v>0.69515740232119183</v>
      </c>
      <c r="M278" s="5">
        <f t="shared" si="35"/>
        <v>95.720385105410173</v>
      </c>
      <c r="N278" s="5">
        <f t="shared" si="36"/>
        <v>14.352434012213942</v>
      </c>
      <c r="O278" s="5">
        <f t="shared" si="37"/>
        <v>14.352434012213942</v>
      </c>
      <c r="P278" s="5">
        <f t="shared" si="38"/>
        <v>85.622405115306321</v>
      </c>
      <c r="Q278" s="5">
        <f t="shared" si="39"/>
        <v>14.372302733487317</v>
      </c>
    </row>
    <row r="279" spans="1:17" x14ac:dyDescent="0.2">
      <c r="A279" t="str">
        <f t="shared" si="32"/>
        <v>New Jersey_2016</v>
      </c>
      <c r="B279" t="s">
        <v>35</v>
      </c>
      <c r="C279">
        <v>2016</v>
      </c>
      <c r="D279" s="3">
        <v>8850952</v>
      </c>
      <c r="E279" s="3">
        <v>7550311.6540000001</v>
      </c>
      <c r="F279" s="3">
        <v>1301696.4759999998</v>
      </c>
      <c r="G279" s="3">
        <v>1021</v>
      </c>
      <c r="H279" s="3">
        <v>63</v>
      </c>
      <c r="I279" s="3">
        <v>48.94</v>
      </c>
      <c r="J279" s="3">
        <v>37.057142857142857</v>
      </c>
      <c r="K279" s="3">
        <f t="shared" si="33"/>
        <v>1084</v>
      </c>
      <c r="L279" s="5">
        <f t="shared" si="34"/>
        <v>0.83440264305677891</v>
      </c>
      <c r="M279" s="5">
        <f t="shared" si="35"/>
        <v>78.436103870961091</v>
      </c>
      <c r="N279" s="5">
        <f t="shared" si="36"/>
        <v>12.247270124162915</v>
      </c>
      <c r="O279" s="5">
        <f t="shared" si="37"/>
        <v>12.247270124162915</v>
      </c>
      <c r="P279" s="5">
        <f t="shared" si="38"/>
        <v>85.305079656967976</v>
      </c>
      <c r="Q279" s="5">
        <f t="shared" si="39"/>
        <v>14.706852731773937</v>
      </c>
    </row>
    <row r="280" spans="1:17" x14ac:dyDescent="0.2">
      <c r="A280" t="str">
        <f t="shared" si="32"/>
        <v>New Jersey_2017</v>
      </c>
      <c r="B280" t="s">
        <v>35</v>
      </c>
      <c r="C280">
        <v>2017</v>
      </c>
      <c r="D280" s="3">
        <v>9115905</v>
      </c>
      <c r="E280" s="3">
        <v>7747113</v>
      </c>
      <c r="F280" s="3">
        <v>1368792</v>
      </c>
      <c r="G280" s="3">
        <v>1124</v>
      </c>
      <c r="H280" s="3">
        <v>69</v>
      </c>
      <c r="I280" s="3">
        <v>51.599999999999987</v>
      </c>
      <c r="J280" s="3">
        <v>37.371428571428574</v>
      </c>
      <c r="K280" s="3">
        <f t="shared" si="33"/>
        <v>1193</v>
      </c>
      <c r="L280" s="5">
        <f t="shared" si="34"/>
        <v>0.89065436376105522</v>
      </c>
      <c r="M280" s="5">
        <f t="shared" si="35"/>
        <v>82.116201731161482</v>
      </c>
      <c r="N280" s="5">
        <f t="shared" si="36"/>
        <v>13.087016593525274</v>
      </c>
      <c r="O280" s="5">
        <f t="shared" si="37"/>
        <v>13.087016593525274</v>
      </c>
      <c r="P280" s="5">
        <f t="shared" si="38"/>
        <v>84.984573665478081</v>
      </c>
      <c r="Q280" s="5">
        <f t="shared" si="39"/>
        <v>15.015426334521914</v>
      </c>
    </row>
    <row r="281" spans="1:17" x14ac:dyDescent="0.2">
      <c r="A281" t="str">
        <f t="shared" si="32"/>
        <v>New Mexico_2009</v>
      </c>
      <c r="B281" t="s">
        <v>36</v>
      </c>
      <c r="C281">
        <v>2009</v>
      </c>
      <c r="D281" s="3">
        <v>1964860</v>
      </c>
      <c r="E281" s="3">
        <v>1717252.7139999992</v>
      </c>
      <c r="F281" s="3">
        <v>248670.01200000008</v>
      </c>
      <c r="G281" s="3">
        <v>112</v>
      </c>
      <c r="H281" s="3">
        <v>0</v>
      </c>
      <c r="I281" s="3">
        <v>48.31428571428571</v>
      </c>
      <c r="J281" s="3">
        <v>40.980769230769248</v>
      </c>
      <c r="K281" s="3">
        <f t="shared" si="33"/>
        <v>112</v>
      </c>
      <c r="L281" s="5">
        <f t="shared" si="34"/>
        <v>0</v>
      </c>
      <c r="M281" s="5">
        <f t="shared" si="35"/>
        <v>45.039608555614649</v>
      </c>
      <c r="N281" s="5">
        <f t="shared" si="36"/>
        <v>5.7001516647496508</v>
      </c>
      <c r="O281" s="5">
        <f t="shared" si="37"/>
        <v>5.7001516647496508</v>
      </c>
      <c r="P281" s="5">
        <f t="shared" si="38"/>
        <v>87.398222468776368</v>
      </c>
      <c r="Q281" s="5">
        <f t="shared" si="39"/>
        <v>12.655864132813537</v>
      </c>
    </row>
    <row r="282" spans="1:17" x14ac:dyDescent="0.2">
      <c r="A282" t="str">
        <f t="shared" si="32"/>
        <v>New Mexico_2010</v>
      </c>
      <c r="B282" t="s">
        <v>36</v>
      </c>
      <c r="C282">
        <v>2010</v>
      </c>
      <c r="D282" s="3">
        <v>2107569</v>
      </c>
      <c r="E282" s="3">
        <v>1838941.7609999999</v>
      </c>
      <c r="F282" s="3">
        <v>267827.85300000006</v>
      </c>
      <c r="G282" s="3">
        <v>132</v>
      </c>
      <c r="H282" s="3">
        <v>0</v>
      </c>
      <c r="I282" s="3">
        <v>48.02</v>
      </c>
      <c r="J282" s="3">
        <v>37.489473684210537</v>
      </c>
      <c r="K282" s="3">
        <f t="shared" si="33"/>
        <v>132</v>
      </c>
      <c r="L282" s="5">
        <f t="shared" si="34"/>
        <v>0</v>
      </c>
      <c r="M282" s="5">
        <f t="shared" si="35"/>
        <v>49.285389298177272</v>
      </c>
      <c r="N282" s="5">
        <f t="shared" si="36"/>
        <v>6.2631401391840544</v>
      </c>
      <c r="O282" s="5">
        <f t="shared" si="37"/>
        <v>6.2631401391840544</v>
      </c>
      <c r="P282" s="5">
        <f t="shared" si="38"/>
        <v>87.254166340461452</v>
      </c>
      <c r="Q282" s="5">
        <f t="shared" si="39"/>
        <v>12.70790436754384</v>
      </c>
    </row>
    <row r="283" spans="1:17" x14ac:dyDescent="0.2">
      <c r="A283" t="str">
        <f t="shared" si="32"/>
        <v>New Mexico_2011</v>
      </c>
      <c r="B283" t="s">
        <v>36</v>
      </c>
      <c r="C283">
        <v>2011</v>
      </c>
      <c r="D283" s="3">
        <v>2050625</v>
      </c>
      <c r="E283" s="3">
        <v>1782466.3950000005</v>
      </c>
      <c r="F283" s="3">
        <v>266518.14300000004</v>
      </c>
      <c r="G283" s="3">
        <v>162</v>
      </c>
      <c r="H283" s="3">
        <v>0</v>
      </c>
      <c r="I283" s="3">
        <v>47.320000000000007</v>
      </c>
      <c r="J283" s="3">
        <v>35.899999999999991</v>
      </c>
      <c r="K283" s="3">
        <f t="shared" si="33"/>
        <v>162</v>
      </c>
      <c r="L283" s="5">
        <f t="shared" si="34"/>
        <v>0</v>
      </c>
      <c r="M283" s="5">
        <f t="shared" si="35"/>
        <v>60.783854403488014</v>
      </c>
      <c r="N283" s="5">
        <f t="shared" si="36"/>
        <v>7.9000304785126483</v>
      </c>
      <c r="O283" s="5">
        <f t="shared" si="37"/>
        <v>7.9000304785126483</v>
      </c>
      <c r="P283" s="5">
        <f t="shared" si="38"/>
        <v>86.923079305089928</v>
      </c>
      <c r="Q283" s="5">
        <f t="shared" si="39"/>
        <v>12.996922548003658</v>
      </c>
    </row>
    <row r="284" spans="1:17" x14ac:dyDescent="0.2">
      <c r="A284" t="str">
        <f t="shared" si="32"/>
        <v>New Mexico_2012</v>
      </c>
      <c r="B284" t="s">
        <v>36</v>
      </c>
      <c r="C284">
        <v>2012</v>
      </c>
      <c r="D284" s="3">
        <v>2016248</v>
      </c>
      <c r="E284" s="3">
        <v>1750878.3850000005</v>
      </c>
      <c r="F284" s="3">
        <v>266490.04799999995</v>
      </c>
      <c r="G284" s="3">
        <v>103</v>
      </c>
      <c r="H284" s="3">
        <v>0</v>
      </c>
      <c r="I284" s="3">
        <v>45.37</v>
      </c>
      <c r="J284" s="3">
        <v>37.97</v>
      </c>
      <c r="K284" s="3">
        <f t="shared" si="33"/>
        <v>103</v>
      </c>
      <c r="L284" s="5">
        <f t="shared" si="34"/>
        <v>0</v>
      </c>
      <c r="M284" s="5">
        <f t="shared" si="35"/>
        <v>38.650599064772592</v>
      </c>
      <c r="N284" s="5">
        <f t="shared" si="36"/>
        <v>5.1084985577171063</v>
      </c>
      <c r="O284" s="5">
        <f t="shared" si="37"/>
        <v>5.1084985577171063</v>
      </c>
      <c r="P284" s="5">
        <f t="shared" si="38"/>
        <v>86.838443733112229</v>
      </c>
      <c r="Q284" s="5">
        <f t="shared" si="39"/>
        <v>13.217126464601575</v>
      </c>
    </row>
    <row r="285" spans="1:17" x14ac:dyDescent="0.2">
      <c r="A285" t="str">
        <f t="shared" si="32"/>
        <v>New Mexico_2013</v>
      </c>
      <c r="B285" t="s">
        <v>36</v>
      </c>
      <c r="C285">
        <v>2013</v>
      </c>
      <c r="D285" s="3">
        <v>2067785</v>
      </c>
      <c r="E285" s="3">
        <v>1784445.1569999999</v>
      </c>
      <c r="F285" s="3">
        <v>283262.31300000002</v>
      </c>
      <c r="G285" s="3">
        <v>166</v>
      </c>
      <c r="H285" s="3">
        <v>0</v>
      </c>
      <c r="I285" s="3">
        <v>44.35</v>
      </c>
      <c r="J285" s="3">
        <v>36.990476190476187</v>
      </c>
      <c r="K285" s="3">
        <f t="shared" si="33"/>
        <v>166</v>
      </c>
      <c r="L285" s="5">
        <f t="shared" si="34"/>
        <v>0</v>
      </c>
      <c r="M285" s="5">
        <f t="shared" si="35"/>
        <v>58.602924703223749</v>
      </c>
      <c r="N285" s="5">
        <f t="shared" si="36"/>
        <v>8.0279139272216415</v>
      </c>
      <c r="O285" s="5">
        <f t="shared" si="37"/>
        <v>8.0279139272216415</v>
      </c>
      <c r="P285" s="5">
        <f t="shared" si="38"/>
        <v>86.297422459298232</v>
      </c>
      <c r="Q285" s="5">
        <f t="shared" si="39"/>
        <v>13.698828118010336</v>
      </c>
    </row>
    <row r="286" spans="1:17" x14ac:dyDescent="0.2">
      <c r="A286" t="str">
        <f t="shared" si="32"/>
        <v>New Mexico_2014</v>
      </c>
      <c r="B286" t="s">
        <v>36</v>
      </c>
      <c r="C286">
        <v>2014</v>
      </c>
      <c r="D286" s="3">
        <v>2008756</v>
      </c>
      <c r="E286" s="3">
        <v>1726783.8770000001</v>
      </c>
      <c r="F286" s="3">
        <v>283704.397</v>
      </c>
      <c r="G286" s="3">
        <v>129</v>
      </c>
      <c r="H286" s="3">
        <v>0</v>
      </c>
      <c r="I286" s="3">
        <v>47.730000000000004</v>
      </c>
      <c r="J286" s="3">
        <v>37.328571428571422</v>
      </c>
      <c r="K286" s="3">
        <f t="shared" si="33"/>
        <v>129</v>
      </c>
      <c r="L286" s="5">
        <f t="shared" si="34"/>
        <v>0</v>
      </c>
      <c r="M286" s="5">
        <f t="shared" si="35"/>
        <v>45.469862774104278</v>
      </c>
      <c r="N286" s="5">
        <f t="shared" si="36"/>
        <v>6.4218849875246171</v>
      </c>
      <c r="O286" s="5">
        <f t="shared" si="37"/>
        <v>6.4218849875246171</v>
      </c>
      <c r="P286" s="5">
        <f t="shared" si="38"/>
        <v>85.962848499270194</v>
      </c>
      <c r="Q286" s="5">
        <f t="shared" si="39"/>
        <v>14.123387658829644</v>
      </c>
    </row>
    <row r="287" spans="1:17" x14ac:dyDescent="0.2">
      <c r="A287" t="str">
        <f t="shared" si="32"/>
        <v>New Mexico_2015</v>
      </c>
      <c r="B287" t="s">
        <v>36</v>
      </c>
      <c r="C287">
        <v>2015</v>
      </c>
      <c r="D287" s="3">
        <v>1939978</v>
      </c>
      <c r="E287" s="3">
        <v>1659061.9689999998</v>
      </c>
      <c r="F287" s="3">
        <v>281262.25499999995</v>
      </c>
      <c r="G287" s="3">
        <v>115</v>
      </c>
      <c r="H287" s="3">
        <v>0</v>
      </c>
      <c r="I287" s="3">
        <v>48.077777777777783</v>
      </c>
      <c r="J287" s="3">
        <v>36.81428571428571</v>
      </c>
      <c r="K287" s="3">
        <f t="shared" si="33"/>
        <v>115</v>
      </c>
      <c r="L287" s="5">
        <f t="shared" si="34"/>
        <v>0</v>
      </c>
      <c r="M287" s="5">
        <f t="shared" si="35"/>
        <v>40.887107301333423</v>
      </c>
      <c r="N287" s="5">
        <f t="shared" si="36"/>
        <v>5.9279022751804398</v>
      </c>
      <c r="O287" s="5">
        <f t="shared" si="37"/>
        <v>5.9279022751804398</v>
      </c>
      <c r="P287" s="5">
        <f t="shared" si="38"/>
        <v>85.51962800609077</v>
      </c>
      <c r="Q287" s="5">
        <f t="shared" si="39"/>
        <v>14.498218794233747</v>
      </c>
    </row>
    <row r="288" spans="1:17" x14ac:dyDescent="0.2">
      <c r="A288" t="str">
        <f t="shared" si="32"/>
        <v>New Mexico_2016</v>
      </c>
      <c r="B288" t="s">
        <v>36</v>
      </c>
      <c r="C288">
        <v>2016</v>
      </c>
      <c r="D288" s="3">
        <v>2063342</v>
      </c>
      <c r="E288" s="3">
        <v>1752138.5789999999</v>
      </c>
      <c r="F288" s="3">
        <v>311244.96700000018</v>
      </c>
      <c r="G288" s="3">
        <v>119</v>
      </c>
      <c r="H288" s="3">
        <v>0</v>
      </c>
      <c r="I288" s="3">
        <v>46.93</v>
      </c>
      <c r="J288" s="3">
        <v>36.261904761904759</v>
      </c>
      <c r="K288" s="3">
        <f t="shared" si="33"/>
        <v>119</v>
      </c>
      <c r="L288" s="5">
        <f t="shared" si="34"/>
        <v>0</v>
      </c>
      <c r="M288" s="5">
        <f t="shared" si="35"/>
        <v>38.233549974159082</v>
      </c>
      <c r="N288" s="5">
        <f t="shared" si="36"/>
        <v>5.7673424958150417</v>
      </c>
      <c r="O288" s="5">
        <f t="shared" si="37"/>
        <v>5.7673424958150417</v>
      </c>
      <c r="P288" s="5">
        <f t="shared" si="38"/>
        <v>84.917506598518315</v>
      </c>
      <c r="Q288" s="5">
        <f t="shared" si="39"/>
        <v>15.084506930988667</v>
      </c>
    </row>
    <row r="289" spans="1:17" x14ac:dyDescent="0.2">
      <c r="A289" t="str">
        <f t="shared" si="32"/>
        <v>New Mexico_2017</v>
      </c>
      <c r="B289" t="s">
        <v>36</v>
      </c>
      <c r="C289">
        <v>2017</v>
      </c>
      <c r="D289" s="3">
        <v>2065568</v>
      </c>
      <c r="E289" s="3">
        <v>1746752</v>
      </c>
      <c r="F289" s="3">
        <v>318816</v>
      </c>
      <c r="G289" s="3">
        <v>120</v>
      </c>
      <c r="H289" s="3">
        <v>0</v>
      </c>
      <c r="I289" s="3">
        <v>41.519999999999996</v>
      </c>
      <c r="J289" s="3">
        <v>32.852380952380955</v>
      </c>
      <c r="K289" s="3">
        <f t="shared" si="33"/>
        <v>120</v>
      </c>
      <c r="L289" s="5">
        <f t="shared" si="34"/>
        <v>0</v>
      </c>
      <c r="M289" s="5">
        <f t="shared" si="35"/>
        <v>37.639265281541704</v>
      </c>
      <c r="N289" s="5">
        <f t="shared" si="36"/>
        <v>5.809540039349951</v>
      </c>
      <c r="O289" s="5">
        <f t="shared" si="37"/>
        <v>5.809540039349951</v>
      </c>
      <c r="P289" s="5">
        <f t="shared" si="38"/>
        <v>84.565214023455042</v>
      </c>
      <c r="Q289" s="5">
        <f t="shared" si="39"/>
        <v>15.434785976544951</v>
      </c>
    </row>
    <row r="290" spans="1:17" x14ac:dyDescent="0.2">
      <c r="A290" t="str">
        <f t="shared" si="32"/>
        <v>New York_2009</v>
      </c>
      <c r="B290" t="s">
        <v>37</v>
      </c>
      <c r="C290">
        <v>2009</v>
      </c>
      <c r="D290" s="3">
        <v>19423896</v>
      </c>
      <c r="E290" s="3">
        <v>16863053.968000002</v>
      </c>
      <c r="F290" s="3">
        <v>2562311.1000000006</v>
      </c>
      <c r="G290" s="3">
        <v>3878</v>
      </c>
      <c r="H290" s="3">
        <v>511</v>
      </c>
      <c r="I290" s="3">
        <v>47.511538461538457</v>
      </c>
      <c r="J290" s="3">
        <v>37.003571428571426</v>
      </c>
      <c r="K290" s="3">
        <f t="shared" si="33"/>
        <v>4389</v>
      </c>
      <c r="L290" s="5">
        <f t="shared" si="34"/>
        <v>3.0302933322142822</v>
      </c>
      <c r="M290" s="5">
        <f t="shared" si="35"/>
        <v>151.34774227844539</v>
      </c>
      <c r="N290" s="5">
        <f t="shared" si="36"/>
        <v>22.595878808247324</v>
      </c>
      <c r="O290" s="5">
        <f t="shared" si="37"/>
        <v>22.595878808247324</v>
      </c>
      <c r="P290" s="5">
        <f t="shared" si="38"/>
        <v>86.816022738177764</v>
      </c>
      <c r="Q290" s="5">
        <f t="shared" si="39"/>
        <v>13.191540461295718</v>
      </c>
    </row>
    <row r="291" spans="1:17" x14ac:dyDescent="0.2">
      <c r="A291" t="str">
        <f t="shared" si="32"/>
        <v>New York_2010</v>
      </c>
      <c r="B291" t="s">
        <v>37</v>
      </c>
      <c r="C291">
        <v>2010</v>
      </c>
      <c r="D291" s="3">
        <v>19229752</v>
      </c>
      <c r="E291" s="3">
        <v>16684315.416999998</v>
      </c>
      <c r="F291" s="3">
        <v>2556539.7110000011</v>
      </c>
      <c r="G291" s="3">
        <v>4065</v>
      </c>
      <c r="H291" s="3">
        <v>457</v>
      </c>
      <c r="I291" s="3">
        <v>50.31</v>
      </c>
      <c r="J291" s="3">
        <v>34.257894736842104</v>
      </c>
      <c r="K291" s="3">
        <f t="shared" si="33"/>
        <v>4522</v>
      </c>
      <c r="L291" s="5">
        <f t="shared" si="34"/>
        <v>2.7390994990082311</v>
      </c>
      <c r="M291" s="5">
        <f t="shared" si="35"/>
        <v>159.00398427255246</v>
      </c>
      <c r="N291" s="5">
        <f t="shared" si="36"/>
        <v>23.515643883498861</v>
      </c>
      <c r="O291" s="5">
        <f t="shared" si="37"/>
        <v>23.515643883498861</v>
      </c>
      <c r="P291" s="5">
        <f t="shared" si="38"/>
        <v>86.763029585612955</v>
      </c>
      <c r="Q291" s="5">
        <f t="shared" si="39"/>
        <v>13.294709734166105</v>
      </c>
    </row>
    <row r="292" spans="1:17" x14ac:dyDescent="0.2">
      <c r="A292" t="str">
        <f t="shared" si="32"/>
        <v>New York_2011</v>
      </c>
      <c r="B292" t="s">
        <v>37</v>
      </c>
      <c r="C292">
        <v>2011</v>
      </c>
      <c r="D292" s="3">
        <v>19359449</v>
      </c>
      <c r="E292" s="3">
        <v>16747188.792999996</v>
      </c>
      <c r="F292" s="3">
        <v>2603943.2020000005</v>
      </c>
      <c r="G292" s="3">
        <v>4296</v>
      </c>
      <c r="H292" s="3">
        <v>491</v>
      </c>
      <c r="I292" s="3">
        <v>52.900000000000006</v>
      </c>
      <c r="J292" s="3">
        <v>33.857894736842105</v>
      </c>
      <c r="K292" s="3">
        <f t="shared" si="33"/>
        <v>4787</v>
      </c>
      <c r="L292" s="5">
        <f t="shared" si="34"/>
        <v>2.9318353430471187</v>
      </c>
      <c r="M292" s="5">
        <f t="shared" si="35"/>
        <v>164.98055705287229</v>
      </c>
      <c r="N292" s="5">
        <f t="shared" si="36"/>
        <v>24.726943416623069</v>
      </c>
      <c r="O292" s="5">
        <f t="shared" si="37"/>
        <v>24.726943416623069</v>
      </c>
      <c r="P292" s="5">
        <f t="shared" si="38"/>
        <v>86.506536384377455</v>
      </c>
      <c r="Q292" s="5">
        <f t="shared" si="39"/>
        <v>13.450502656351432</v>
      </c>
    </row>
    <row r="293" spans="1:17" x14ac:dyDescent="0.2">
      <c r="A293" t="str">
        <f t="shared" si="32"/>
        <v>New York_2012</v>
      </c>
      <c r="B293" t="s">
        <v>37</v>
      </c>
      <c r="C293">
        <v>2012</v>
      </c>
      <c r="D293" s="3">
        <v>19312883</v>
      </c>
      <c r="E293" s="3">
        <v>16680816.461000005</v>
      </c>
      <c r="F293" s="3">
        <v>2622463.3300000005</v>
      </c>
      <c r="G293" s="3">
        <v>3869</v>
      </c>
      <c r="H293" s="3">
        <v>423</v>
      </c>
      <c r="I293" s="3">
        <v>50.36</v>
      </c>
      <c r="J293" s="3">
        <v>32.718181818181819</v>
      </c>
      <c r="K293" s="3">
        <f t="shared" si="33"/>
        <v>4292</v>
      </c>
      <c r="L293" s="5">
        <f t="shared" si="34"/>
        <v>2.5358470971069087</v>
      </c>
      <c r="M293" s="5">
        <f t="shared" si="35"/>
        <v>147.53304481859044</v>
      </c>
      <c r="N293" s="5">
        <f t="shared" si="36"/>
        <v>22.22350748979321</v>
      </c>
      <c r="O293" s="5">
        <f t="shared" si="37"/>
        <v>22.22350748979321</v>
      </c>
      <c r="P293" s="5">
        <f t="shared" si="38"/>
        <v>86.3714467746737</v>
      </c>
      <c r="Q293" s="5">
        <f t="shared" si="39"/>
        <v>13.578828857400527</v>
      </c>
    </row>
    <row r="294" spans="1:17" x14ac:dyDescent="0.2">
      <c r="A294" t="str">
        <f t="shared" si="32"/>
        <v>New York_2013</v>
      </c>
      <c r="B294" t="s">
        <v>37</v>
      </c>
      <c r="C294">
        <v>2013</v>
      </c>
      <c r="D294" s="3">
        <v>19490635</v>
      </c>
      <c r="E294" s="3">
        <v>16794428.191999998</v>
      </c>
      <c r="F294" s="3">
        <v>2699961.2090000003</v>
      </c>
      <c r="G294" s="3">
        <v>4282</v>
      </c>
      <c r="H294" s="3">
        <v>485</v>
      </c>
      <c r="I294" s="3">
        <v>49.38000000000001</v>
      </c>
      <c r="J294" s="3">
        <v>36.561904761904756</v>
      </c>
      <c r="K294" s="3">
        <f t="shared" si="33"/>
        <v>4767</v>
      </c>
      <c r="L294" s="5">
        <f t="shared" si="34"/>
        <v>2.8878625366419386</v>
      </c>
      <c r="M294" s="5">
        <f t="shared" si="35"/>
        <v>158.59487113097998</v>
      </c>
      <c r="N294" s="5">
        <f t="shared" si="36"/>
        <v>24.457899909366731</v>
      </c>
      <c r="O294" s="5">
        <f t="shared" si="37"/>
        <v>24.457899909366731</v>
      </c>
      <c r="P294" s="5">
        <f t="shared" si="38"/>
        <v>86.166654867837806</v>
      </c>
      <c r="Q294" s="5">
        <f t="shared" si="39"/>
        <v>13.852607721605789</v>
      </c>
    </row>
    <row r="295" spans="1:17" x14ac:dyDescent="0.2">
      <c r="A295" t="str">
        <f t="shared" si="32"/>
        <v>New York_2014</v>
      </c>
      <c r="B295" t="s">
        <v>37</v>
      </c>
      <c r="C295">
        <v>2014</v>
      </c>
      <c r="D295" s="3">
        <v>19644020</v>
      </c>
      <c r="E295" s="3">
        <v>16872403.691</v>
      </c>
      <c r="F295" s="3">
        <v>2763748.8109999998</v>
      </c>
      <c r="G295" s="3">
        <v>4030</v>
      </c>
      <c r="H295" s="3">
        <v>571</v>
      </c>
      <c r="I295" s="3">
        <v>48.95</v>
      </c>
      <c r="J295" s="3">
        <v>37.657142857142858</v>
      </c>
      <c r="K295" s="3">
        <f t="shared" si="33"/>
        <v>4601</v>
      </c>
      <c r="L295" s="5">
        <f t="shared" si="34"/>
        <v>3.3842243847246269</v>
      </c>
      <c r="M295" s="5">
        <f t="shared" si="35"/>
        <v>145.81643541410827</v>
      </c>
      <c r="N295" s="5">
        <f t="shared" si="36"/>
        <v>23.421886151612551</v>
      </c>
      <c r="O295" s="5">
        <f t="shared" si="37"/>
        <v>23.421886151612551</v>
      </c>
      <c r="P295" s="5">
        <f t="shared" si="38"/>
        <v>85.89078860131481</v>
      </c>
      <c r="Q295" s="5">
        <f t="shared" si="39"/>
        <v>14.069161052574778</v>
      </c>
    </row>
    <row r="296" spans="1:17" x14ac:dyDescent="0.2">
      <c r="A296" t="str">
        <f t="shared" si="32"/>
        <v>New York_2015</v>
      </c>
      <c r="B296" t="s">
        <v>37</v>
      </c>
      <c r="C296">
        <v>2015</v>
      </c>
      <c r="D296" s="3">
        <v>19601171</v>
      </c>
      <c r="E296" s="3">
        <v>16799901.763999995</v>
      </c>
      <c r="F296" s="3">
        <v>2802365.3969999999</v>
      </c>
      <c r="G296" s="3">
        <v>4298</v>
      </c>
      <c r="H296" s="3">
        <v>455</v>
      </c>
      <c r="I296" s="3">
        <v>44.618181818181817</v>
      </c>
      <c r="J296" s="3">
        <v>35.43181818181818</v>
      </c>
      <c r="K296" s="3">
        <f t="shared" si="33"/>
        <v>4753</v>
      </c>
      <c r="L296" s="5">
        <f t="shared" si="34"/>
        <v>2.7083491700826836</v>
      </c>
      <c r="M296" s="5">
        <f t="shared" si="35"/>
        <v>153.37043501183371</v>
      </c>
      <c r="N296" s="5">
        <f t="shared" si="36"/>
        <v>24.248551272778549</v>
      </c>
      <c r="O296" s="5">
        <f t="shared" si="37"/>
        <v>24.248551272778549</v>
      </c>
      <c r="P296" s="5">
        <f t="shared" si="38"/>
        <v>85.708663854827833</v>
      </c>
      <c r="Q296" s="5">
        <f t="shared" si="39"/>
        <v>14.296928469222578</v>
      </c>
    </row>
    <row r="297" spans="1:17" x14ac:dyDescent="0.2">
      <c r="A297" t="str">
        <f t="shared" si="32"/>
        <v>New York_2016</v>
      </c>
      <c r="B297" t="s">
        <v>37</v>
      </c>
      <c r="C297">
        <v>2016</v>
      </c>
      <c r="D297" s="3">
        <v>19781344</v>
      </c>
      <c r="E297" s="3">
        <v>16873067.365000002</v>
      </c>
      <c r="F297" s="3">
        <v>2907767.4979999997</v>
      </c>
      <c r="G297" s="3">
        <v>3903</v>
      </c>
      <c r="H297" s="3">
        <v>469</v>
      </c>
      <c r="I297" s="3">
        <v>48.69</v>
      </c>
      <c r="J297" s="3">
        <v>37.609523809523807</v>
      </c>
      <c r="K297" s="3">
        <f t="shared" si="33"/>
        <v>4372</v>
      </c>
      <c r="L297" s="5">
        <f t="shared" si="34"/>
        <v>2.7795775946041208</v>
      </c>
      <c r="M297" s="5">
        <f t="shared" si="35"/>
        <v>134.22668774874657</v>
      </c>
      <c r="N297" s="5">
        <f t="shared" si="36"/>
        <v>22.101632730313977</v>
      </c>
      <c r="O297" s="5">
        <f t="shared" si="37"/>
        <v>22.101632730313977</v>
      </c>
      <c r="P297" s="5">
        <f t="shared" si="38"/>
        <v>85.297881503905913</v>
      </c>
      <c r="Q297" s="5">
        <f t="shared" si="39"/>
        <v>14.699544671989932</v>
      </c>
    </row>
    <row r="298" spans="1:17" x14ac:dyDescent="0.2">
      <c r="A298" t="str">
        <f t="shared" si="32"/>
        <v>New York_2017</v>
      </c>
      <c r="B298" t="s">
        <v>37</v>
      </c>
      <c r="C298">
        <v>2017</v>
      </c>
      <c r="D298" s="3">
        <v>19899801</v>
      </c>
      <c r="E298" s="3">
        <v>16888307</v>
      </c>
      <c r="F298" s="3">
        <v>3011494</v>
      </c>
      <c r="G298" s="3">
        <v>3955</v>
      </c>
      <c r="H298" s="3">
        <v>437</v>
      </c>
      <c r="I298" s="3">
        <v>39.49</v>
      </c>
      <c r="J298" s="3">
        <v>32.761904761904759</v>
      </c>
      <c r="K298" s="3">
        <f t="shared" si="33"/>
        <v>4392</v>
      </c>
      <c r="L298" s="5">
        <f t="shared" si="34"/>
        <v>2.5875891526604766</v>
      </c>
      <c r="M298" s="5">
        <f t="shared" si="35"/>
        <v>131.33016369947939</v>
      </c>
      <c r="N298" s="5">
        <f t="shared" si="36"/>
        <v>22.070572464518616</v>
      </c>
      <c r="O298" s="5">
        <f t="shared" si="37"/>
        <v>22.070572464518616</v>
      </c>
      <c r="P298" s="5">
        <f t="shared" si="38"/>
        <v>84.86671298873793</v>
      </c>
      <c r="Q298" s="5">
        <f t="shared" si="39"/>
        <v>15.133287011262073</v>
      </c>
    </row>
    <row r="299" spans="1:17" x14ac:dyDescent="0.2">
      <c r="A299" t="str">
        <f t="shared" si="32"/>
        <v>North Carolina_2009</v>
      </c>
      <c r="B299" t="s">
        <v>38</v>
      </c>
      <c r="C299">
        <v>2009</v>
      </c>
      <c r="D299" s="3">
        <v>8983850</v>
      </c>
      <c r="E299" s="3">
        <v>7873474.4479999989</v>
      </c>
      <c r="F299" s="3">
        <v>1111999.0889999995</v>
      </c>
      <c r="G299" s="3">
        <v>1432</v>
      </c>
      <c r="H299" s="3">
        <v>135</v>
      </c>
      <c r="I299" s="3">
        <v>46.407142857142858</v>
      </c>
      <c r="J299" s="3">
        <v>35.835714285714275</v>
      </c>
      <c r="K299" s="3">
        <f t="shared" si="33"/>
        <v>1567</v>
      </c>
      <c r="L299" s="5">
        <f t="shared" si="34"/>
        <v>1.7146178715839024</v>
      </c>
      <c r="M299" s="5">
        <f t="shared" si="35"/>
        <v>128.77708391719742</v>
      </c>
      <c r="N299" s="5">
        <f t="shared" si="36"/>
        <v>17.442410547816358</v>
      </c>
      <c r="O299" s="5">
        <f t="shared" si="37"/>
        <v>17.442410547816358</v>
      </c>
      <c r="P299" s="5">
        <f t="shared" si="38"/>
        <v>87.640315098760553</v>
      </c>
      <c r="Q299" s="5">
        <f t="shared" si="39"/>
        <v>12.377756629952632</v>
      </c>
    </row>
    <row r="300" spans="1:17" x14ac:dyDescent="0.2">
      <c r="A300" t="str">
        <f t="shared" si="32"/>
        <v>North Carolina_2010</v>
      </c>
      <c r="B300" t="s">
        <v>38</v>
      </c>
      <c r="C300">
        <v>2010</v>
      </c>
      <c r="D300" s="3">
        <v>9256890</v>
      </c>
      <c r="E300" s="3">
        <v>8094455.5160000008</v>
      </c>
      <c r="F300" s="3">
        <v>1165935.5090000001</v>
      </c>
      <c r="G300" s="3">
        <v>1436</v>
      </c>
      <c r="H300" s="3">
        <v>136</v>
      </c>
      <c r="I300" s="3">
        <v>59.011111111111113</v>
      </c>
      <c r="J300" s="3">
        <v>34.836842105263159</v>
      </c>
      <c r="K300" s="3">
        <f t="shared" si="33"/>
        <v>1572</v>
      </c>
      <c r="L300" s="5">
        <f t="shared" si="34"/>
        <v>1.6801624239107125</v>
      </c>
      <c r="M300" s="5">
        <f t="shared" si="35"/>
        <v>123.16290128530599</v>
      </c>
      <c r="N300" s="5">
        <f t="shared" si="36"/>
        <v>16.981945340173645</v>
      </c>
      <c r="O300" s="5">
        <f t="shared" si="37"/>
        <v>16.981945340173645</v>
      </c>
      <c r="P300" s="5">
        <f t="shared" si="38"/>
        <v>87.442494358256397</v>
      </c>
      <c r="Q300" s="5">
        <f t="shared" si="39"/>
        <v>12.595326389316499</v>
      </c>
    </row>
    <row r="301" spans="1:17" x14ac:dyDescent="0.2">
      <c r="A301" t="str">
        <f t="shared" si="32"/>
        <v>North Carolina_2011</v>
      </c>
      <c r="B301" t="s">
        <v>38</v>
      </c>
      <c r="C301">
        <v>2011</v>
      </c>
      <c r="D301" s="3">
        <v>9326745</v>
      </c>
      <c r="E301" s="3">
        <v>8137646.0199999996</v>
      </c>
      <c r="F301" s="3">
        <v>1186079.2810000004</v>
      </c>
      <c r="G301" s="3">
        <v>1344</v>
      </c>
      <c r="H301" s="3">
        <v>88</v>
      </c>
      <c r="I301" s="3">
        <v>54.71</v>
      </c>
      <c r="J301" s="3">
        <v>36.15789473684211</v>
      </c>
      <c r="K301" s="3">
        <f t="shared" si="33"/>
        <v>1432</v>
      </c>
      <c r="L301" s="5">
        <f t="shared" si="34"/>
        <v>1.0813938058219938</v>
      </c>
      <c r="M301" s="5">
        <f t="shared" si="35"/>
        <v>113.31451628316569</v>
      </c>
      <c r="N301" s="5">
        <f t="shared" si="36"/>
        <v>15.353695206634255</v>
      </c>
      <c r="O301" s="5">
        <f t="shared" si="37"/>
        <v>15.353695206634255</v>
      </c>
      <c r="P301" s="5">
        <f t="shared" si="38"/>
        <v>87.250654113519772</v>
      </c>
      <c r="Q301" s="5">
        <f t="shared" si="39"/>
        <v>12.716969114090718</v>
      </c>
    </row>
    <row r="302" spans="1:17" x14ac:dyDescent="0.2">
      <c r="A302" t="str">
        <f t="shared" si="32"/>
        <v>North Carolina_2012</v>
      </c>
      <c r="B302" t="s">
        <v>38</v>
      </c>
      <c r="C302">
        <v>2012</v>
      </c>
      <c r="D302" s="3">
        <v>9473471</v>
      </c>
      <c r="E302" s="3">
        <v>8243098.4750000006</v>
      </c>
      <c r="F302" s="3">
        <v>1229068.9089999998</v>
      </c>
      <c r="G302" s="3">
        <v>1597</v>
      </c>
      <c r="H302" s="3">
        <v>190</v>
      </c>
      <c r="I302" s="3">
        <v>54.650000000000013</v>
      </c>
      <c r="J302" s="3">
        <v>34.595238095238102</v>
      </c>
      <c r="K302" s="3">
        <f t="shared" si="33"/>
        <v>1787</v>
      </c>
      <c r="L302" s="5">
        <f t="shared" si="34"/>
        <v>2.3049585125816416</v>
      </c>
      <c r="M302" s="5">
        <f t="shared" si="35"/>
        <v>129.93575773545177</v>
      </c>
      <c r="N302" s="5">
        <f t="shared" si="36"/>
        <v>18.863202304625201</v>
      </c>
      <c r="O302" s="5">
        <f t="shared" si="37"/>
        <v>18.863202304625201</v>
      </c>
      <c r="P302" s="5">
        <f t="shared" si="38"/>
        <v>87.012442166128977</v>
      </c>
      <c r="Q302" s="5">
        <f t="shared" si="39"/>
        <v>12.973797133067697</v>
      </c>
    </row>
    <row r="303" spans="1:17" x14ac:dyDescent="0.2">
      <c r="A303" t="str">
        <f t="shared" si="32"/>
        <v>North Carolina_2013</v>
      </c>
      <c r="B303" t="s">
        <v>38</v>
      </c>
      <c r="C303">
        <v>2013</v>
      </c>
      <c r="D303" s="3">
        <v>9872176</v>
      </c>
      <c r="E303" s="3">
        <v>8552927.9849999994</v>
      </c>
      <c r="F303" s="3">
        <v>1321223.4080000001</v>
      </c>
      <c r="G303" s="3">
        <v>1586</v>
      </c>
      <c r="H303" s="3">
        <v>207</v>
      </c>
      <c r="I303" s="3">
        <v>55.209999999999994</v>
      </c>
      <c r="J303" s="3">
        <v>36.814285714285717</v>
      </c>
      <c r="K303" s="3">
        <f t="shared" si="33"/>
        <v>1793</v>
      </c>
      <c r="L303" s="5">
        <f t="shared" si="34"/>
        <v>2.420223815318375</v>
      </c>
      <c r="M303" s="5">
        <f t="shared" si="35"/>
        <v>120.04025892947243</v>
      </c>
      <c r="N303" s="5">
        <f t="shared" si="36"/>
        <v>18.162155942114484</v>
      </c>
      <c r="O303" s="5">
        <f t="shared" si="37"/>
        <v>18.162155942114484</v>
      </c>
      <c r="P303" s="5">
        <f t="shared" si="38"/>
        <v>86.63670486628277</v>
      </c>
      <c r="Q303" s="5">
        <f t="shared" si="39"/>
        <v>13.383304835732265</v>
      </c>
    </row>
    <row r="304" spans="1:17" x14ac:dyDescent="0.2">
      <c r="A304" t="str">
        <f t="shared" si="32"/>
        <v>North Carolina_2014</v>
      </c>
      <c r="B304" t="s">
        <v>38</v>
      </c>
      <c r="C304">
        <v>2014</v>
      </c>
      <c r="D304" s="3">
        <v>10135660</v>
      </c>
      <c r="E304" s="3">
        <v>8732436.8970000055</v>
      </c>
      <c r="F304" s="3">
        <v>1405682.3299999991</v>
      </c>
      <c r="G304" s="3">
        <v>1528</v>
      </c>
      <c r="H304" s="3">
        <v>216</v>
      </c>
      <c r="I304" s="3">
        <v>57.899999999999991</v>
      </c>
      <c r="J304" s="3">
        <v>37.280952380952371</v>
      </c>
      <c r="K304" s="3">
        <f t="shared" si="33"/>
        <v>1744</v>
      </c>
      <c r="L304" s="5">
        <f t="shared" si="34"/>
        <v>2.4735363398297898</v>
      </c>
      <c r="M304" s="5">
        <f t="shared" si="35"/>
        <v>108.70165807661543</v>
      </c>
      <c r="N304" s="5">
        <f t="shared" si="36"/>
        <v>17.206575595471829</v>
      </c>
      <c r="O304" s="5">
        <f t="shared" si="37"/>
        <v>17.206575595471829</v>
      </c>
      <c r="P304" s="5">
        <f t="shared" si="38"/>
        <v>86.15558233997595</v>
      </c>
      <c r="Q304" s="5">
        <f t="shared" si="39"/>
        <v>13.86868077658484</v>
      </c>
    </row>
    <row r="305" spans="1:17" x14ac:dyDescent="0.2">
      <c r="A305" t="str">
        <f t="shared" si="32"/>
        <v>North Carolina_2015</v>
      </c>
      <c r="B305" t="s">
        <v>38</v>
      </c>
      <c r="C305">
        <v>2015</v>
      </c>
      <c r="D305" s="3">
        <v>9600041</v>
      </c>
      <c r="E305" s="3">
        <v>8250109.3649999993</v>
      </c>
      <c r="F305" s="3">
        <v>1350291.027</v>
      </c>
      <c r="G305" s="3">
        <v>1778</v>
      </c>
      <c r="H305" s="3">
        <v>208</v>
      </c>
      <c r="I305" s="3">
        <v>50.42</v>
      </c>
      <c r="J305" s="3">
        <v>36.038095238095238</v>
      </c>
      <c r="K305" s="3">
        <f t="shared" si="33"/>
        <v>1986</v>
      </c>
      <c r="L305" s="5">
        <f t="shared" si="34"/>
        <v>2.5211786995504881</v>
      </c>
      <c r="M305" s="5">
        <f t="shared" si="35"/>
        <v>131.67531772393241</v>
      </c>
      <c r="N305" s="5">
        <f t="shared" si="36"/>
        <v>20.687411647512754</v>
      </c>
      <c r="O305" s="5">
        <f t="shared" si="37"/>
        <v>20.687411647512754</v>
      </c>
      <c r="P305" s="5">
        <f t="shared" si="38"/>
        <v>85.93827219071251</v>
      </c>
      <c r="Q305" s="5">
        <f t="shared" si="39"/>
        <v>14.065471459965639</v>
      </c>
    </row>
    <row r="306" spans="1:17" x14ac:dyDescent="0.2">
      <c r="A306" t="str">
        <f t="shared" si="32"/>
        <v>North Carolina_2016</v>
      </c>
      <c r="B306" t="s">
        <v>38</v>
      </c>
      <c r="C306">
        <v>2016</v>
      </c>
      <c r="D306" s="3">
        <v>9790104</v>
      </c>
      <c r="E306" s="3">
        <v>8379468.745000002</v>
      </c>
      <c r="F306" s="3">
        <v>1410702.808</v>
      </c>
      <c r="G306" s="3">
        <v>1550</v>
      </c>
      <c r="H306" s="3">
        <v>233</v>
      </c>
      <c r="I306" s="3">
        <v>59.211111111111109</v>
      </c>
      <c r="J306" s="3">
        <v>35.74285714285714</v>
      </c>
      <c r="K306" s="3">
        <f t="shared" si="33"/>
        <v>1783</v>
      </c>
      <c r="L306" s="5">
        <f t="shared" si="34"/>
        <v>2.7806058724072482</v>
      </c>
      <c r="M306" s="5">
        <f t="shared" si="35"/>
        <v>109.87431167004526</v>
      </c>
      <c r="N306" s="5">
        <f t="shared" si="36"/>
        <v>18.212268225138363</v>
      </c>
      <c r="O306" s="5">
        <f t="shared" si="37"/>
        <v>18.212268225138363</v>
      </c>
      <c r="P306" s="5">
        <f t="shared" si="38"/>
        <v>85.591212769547724</v>
      </c>
      <c r="Q306" s="5">
        <f t="shared" si="39"/>
        <v>14.409477243551244</v>
      </c>
    </row>
    <row r="307" spans="1:17" x14ac:dyDescent="0.2">
      <c r="A307" t="str">
        <f t="shared" si="32"/>
        <v>North Carolina_2017</v>
      </c>
      <c r="B307" t="s">
        <v>38</v>
      </c>
      <c r="C307">
        <v>2017</v>
      </c>
      <c r="D307" s="3">
        <v>10250849</v>
      </c>
      <c r="E307" s="3">
        <v>8705990</v>
      </c>
      <c r="F307" s="3">
        <v>1544859</v>
      </c>
      <c r="G307" s="3">
        <v>1690</v>
      </c>
      <c r="H307" s="3">
        <v>243</v>
      </c>
      <c r="I307" s="3">
        <v>53.120000000000005</v>
      </c>
      <c r="J307" s="3">
        <v>33.395238095238099</v>
      </c>
      <c r="K307" s="3">
        <f t="shared" si="33"/>
        <v>1933</v>
      </c>
      <c r="L307" s="5">
        <f t="shared" si="34"/>
        <v>2.7911817036316373</v>
      </c>
      <c r="M307" s="5">
        <f t="shared" si="35"/>
        <v>109.39509689881083</v>
      </c>
      <c r="N307" s="5">
        <f t="shared" si="36"/>
        <v>18.856974675951232</v>
      </c>
      <c r="O307" s="5">
        <f t="shared" si="37"/>
        <v>18.856974675951232</v>
      </c>
      <c r="P307" s="5">
        <f t="shared" si="38"/>
        <v>84.929453160416273</v>
      </c>
      <c r="Q307" s="5">
        <f t="shared" si="39"/>
        <v>15.070546839583725</v>
      </c>
    </row>
    <row r="308" spans="1:17" x14ac:dyDescent="0.2">
      <c r="A308" t="str">
        <f t="shared" si="32"/>
        <v>North Dakota_2009</v>
      </c>
      <c r="B308" t="s">
        <v>39</v>
      </c>
      <c r="C308">
        <v>2009</v>
      </c>
      <c r="D308" s="3">
        <v>623992</v>
      </c>
      <c r="E308" s="3">
        <v>533408.48699999996</v>
      </c>
      <c r="F308" s="3">
        <v>90562.328000000009</v>
      </c>
      <c r="G308" s="3">
        <v>21</v>
      </c>
      <c r="H308" s="3">
        <v>0</v>
      </c>
      <c r="I308" s="3">
        <v>47.365384615384613</v>
      </c>
      <c r="J308" s="3">
        <v>43.403846153846153</v>
      </c>
      <c r="K308" s="3">
        <f t="shared" si="33"/>
        <v>21</v>
      </c>
      <c r="L308" s="5">
        <f t="shared" si="34"/>
        <v>0</v>
      </c>
      <c r="M308" s="5">
        <f t="shared" si="35"/>
        <v>23.18844983755276</v>
      </c>
      <c r="N308" s="5">
        <f t="shared" si="36"/>
        <v>3.3654277618943831</v>
      </c>
      <c r="O308" s="5">
        <f t="shared" si="37"/>
        <v>3.3654277618943831</v>
      </c>
      <c r="P308" s="5">
        <f t="shared" si="38"/>
        <v>85.483225265708526</v>
      </c>
      <c r="Q308" s="5">
        <f t="shared" si="39"/>
        <v>14.513379658713573</v>
      </c>
    </row>
    <row r="309" spans="1:17" x14ac:dyDescent="0.2">
      <c r="A309" t="str">
        <f t="shared" si="32"/>
        <v>North Dakota_2010</v>
      </c>
      <c r="B309" t="s">
        <v>39</v>
      </c>
      <c r="C309">
        <v>2010</v>
      </c>
      <c r="D309" s="3">
        <v>570866</v>
      </c>
      <c r="E309" s="3">
        <v>485646.01299999998</v>
      </c>
      <c r="F309" s="3">
        <v>84914.80799999999</v>
      </c>
      <c r="G309" s="3">
        <v>10</v>
      </c>
      <c r="H309" s="3">
        <v>0</v>
      </c>
      <c r="I309" s="3">
        <v>53.500000000000007</v>
      </c>
      <c r="J309" s="3">
        <v>39.188888888888883</v>
      </c>
      <c r="K309" s="3">
        <f t="shared" si="33"/>
        <v>10</v>
      </c>
      <c r="L309" s="5">
        <f t="shared" si="34"/>
        <v>0</v>
      </c>
      <c r="M309" s="5">
        <f t="shared" si="35"/>
        <v>11.776508992400951</v>
      </c>
      <c r="N309" s="5">
        <f t="shared" si="36"/>
        <v>1.7517245728419628</v>
      </c>
      <c r="O309" s="5">
        <f t="shared" si="37"/>
        <v>1.7517245728419628</v>
      </c>
      <c r="P309" s="5">
        <f t="shared" si="38"/>
        <v>85.071805467482733</v>
      </c>
      <c r="Q309" s="5">
        <f t="shared" si="39"/>
        <v>14.874735577175727</v>
      </c>
    </row>
    <row r="310" spans="1:17" x14ac:dyDescent="0.2">
      <c r="A310" t="str">
        <f t="shared" si="32"/>
        <v>North Dakota_2011</v>
      </c>
      <c r="B310" t="s">
        <v>39</v>
      </c>
      <c r="C310">
        <v>2011</v>
      </c>
      <c r="D310" s="3">
        <v>820058</v>
      </c>
      <c r="E310" s="3">
        <v>694451.80599999987</v>
      </c>
      <c r="F310" s="3">
        <v>125166.10300000003</v>
      </c>
      <c r="G310" s="3">
        <v>0</v>
      </c>
      <c r="H310" s="3">
        <v>0</v>
      </c>
      <c r="I310" s="3">
        <v>55.611111111111114</v>
      </c>
      <c r="J310" s="3">
        <v>35.873684210526314</v>
      </c>
      <c r="K310" s="3">
        <f t="shared" si="33"/>
        <v>0</v>
      </c>
      <c r="L310" s="5">
        <f t="shared" si="34"/>
        <v>0</v>
      </c>
      <c r="M310" s="5">
        <f t="shared" si="35"/>
        <v>0</v>
      </c>
      <c r="N310" s="5">
        <f t="shared" si="36"/>
        <v>0</v>
      </c>
      <c r="O310" s="5">
        <f t="shared" si="37"/>
        <v>0</v>
      </c>
      <c r="P310" s="5">
        <f t="shared" si="38"/>
        <v>84.68325484295012</v>
      </c>
      <c r="Q310" s="5">
        <f t="shared" si="39"/>
        <v>15.263079318779896</v>
      </c>
    </row>
    <row r="311" spans="1:17" x14ac:dyDescent="0.2">
      <c r="A311" t="str">
        <f t="shared" si="32"/>
        <v>North Dakota_2012</v>
      </c>
      <c r="B311" t="s">
        <v>39</v>
      </c>
      <c r="C311">
        <v>2012</v>
      </c>
      <c r="D311" s="3">
        <v>706929</v>
      </c>
      <c r="E311" s="3">
        <v>602702.89999999979</v>
      </c>
      <c r="F311" s="3">
        <v>103954.05300000001</v>
      </c>
      <c r="G311" s="3">
        <v>21</v>
      </c>
      <c r="H311" s="3">
        <v>0</v>
      </c>
      <c r="I311" s="3">
        <v>49.82</v>
      </c>
      <c r="J311" s="3">
        <v>38.059999999999995</v>
      </c>
      <c r="K311" s="3">
        <f t="shared" si="33"/>
        <v>21</v>
      </c>
      <c r="L311" s="5">
        <f t="shared" si="34"/>
        <v>0</v>
      </c>
      <c r="M311" s="5">
        <f t="shared" si="35"/>
        <v>20.201232558003291</v>
      </c>
      <c r="N311" s="5">
        <f t="shared" si="36"/>
        <v>2.9705953497451651</v>
      </c>
      <c r="O311" s="5">
        <f t="shared" si="37"/>
        <v>2.9705953497451651</v>
      </c>
      <c r="P311" s="5">
        <f t="shared" si="38"/>
        <v>85.256496762758331</v>
      </c>
      <c r="Q311" s="5">
        <f t="shared" si="39"/>
        <v>14.705020306141069</v>
      </c>
    </row>
    <row r="312" spans="1:17" x14ac:dyDescent="0.2">
      <c r="A312" t="str">
        <f t="shared" si="32"/>
        <v>North Dakota_2013</v>
      </c>
      <c r="B312" t="s">
        <v>39</v>
      </c>
      <c r="C312">
        <v>2013</v>
      </c>
      <c r="D312" s="3">
        <v>737626</v>
      </c>
      <c r="E312" s="3">
        <v>631066.44799999997</v>
      </c>
      <c r="F312" s="3">
        <v>106637.958</v>
      </c>
      <c r="G312" s="3">
        <v>25</v>
      </c>
      <c r="H312" s="3">
        <v>0</v>
      </c>
      <c r="I312" s="3">
        <v>54.43333333333333</v>
      </c>
      <c r="J312" s="3">
        <v>38.910000000000004</v>
      </c>
      <c r="K312" s="3">
        <f t="shared" si="33"/>
        <v>25</v>
      </c>
      <c r="L312" s="5">
        <f t="shared" si="34"/>
        <v>0</v>
      </c>
      <c r="M312" s="5">
        <f t="shared" si="35"/>
        <v>23.443809754871712</v>
      </c>
      <c r="N312" s="5">
        <f t="shared" si="36"/>
        <v>3.3892514634787823</v>
      </c>
      <c r="O312" s="5">
        <f t="shared" si="37"/>
        <v>3.3892514634787823</v>
      </c>
      <c r="P312" s="5">
        <f t="shared" si="38"/>
        <v>85.553715297454261</v>
      </c>
      <c r="Q312" s="5">
        <f t="shared" si="39"/>
        <v>14.456914208555554</v>
      </c>
    </row>
    <row r="313" spans="1:17" x14ac:dyDescent="0.2">
      <c r="A313" t="str">
        <f t="shared" si="32"/>
        <v>North Dakota_2014</v>
      </c>
      <c r="B313" t="s">
        <v>39</v>
      </c>
      <c r="C313">
        <v>2014</v>
      </c>
      <c r="D313" s="3">
        <v>708911</v>
      </c>
      <c r="E313" s="3">
        <v>607134.64500000014</v>
      </c>
      <c r="F313" s="3">
        <v>101468.091</v>
      </c>
      <c r="G313" s="3">
        <v>64</v>
      </c>
      <c r="H313" s="3">
        <v>0</v>
      </c>
      <c r="I313" s="3">
        <v>55.611111111111114</v>
      </c>
      <c r="J313" s="3">
        <v>42.089473684210525</v>
      </c>
      <c r="K313" s="3">
        <f t="shared" si="33"/>
        <v>64</v>
      </c>
      <c r="L313" s="5">
        <f t="shared" si="34"/>
        <v>0</v>
      </c>
      <c r="M313" s="5">
        <f t="shared" si="35"/>
        <v>63.074016047074345</v>
      </c>
      <c r="N313" s="5">
        <f t="shared" si="36"/>
        <v>9.0279315739211281</v>
      </c>
      <c r="O313" s="5">
        <f t="shared" si="37"/>
        <v>9.0279315739211281</v>
      </c>
      <c r="P313" s="5">
        <f t="shared" si="38"/>
        <v>85.643281737763999</v>
      </c>
      <c r="Q313" s="5">
        <f t="shared" si="39"/>
        <v>14.313234101318784</v>
      </c>
    </row>
    <row r="314" spans="1:17" x14ac:dyDescent="0.2">
      <c r="A314" t="str">
        <f t="shared" si="32"/>
        <v>North Dakota_2015</v>
      </c>
      <c r="B314" t="s">
        <v>39</v>
      </c>
      <c r="C314">
        <v>2015</v>
      </c>
      <c r="D314" s="3">
        <v>732713</v>
      </c>
      <c r="E314" s="3">
        <v>627016.56100000022</v>
      </c>
      <c r="F314" s="3">
        <v>105552.16099999999</v>
      </c>
      <c r="G314" s="3">
        <v>38</v>
      </c>
      <c r="H314" s="3">
        <v>0</v>
      </c>
      <c r="I314" s="3">
        <v>48.1</v>
      </c>
      <c r="J314" s="3">
        <v>38.58</v>
      </c>
      <c r="K314" s="3">
        <f t="shared" si="33"/>
        <v>38</v>
      </c>
      <c r="L314" s="5">
        <f t="shared" si="34"/>
        <v>0</v>
      </c>
      <c r="M314" s="5">
        <f t="shared" si="35"/>
        <v>36.001157759337588</v>
      </c>
      <c r="N314" s="5">
        <f t="shared" si="36"/>
        <v>5.1862052399779994</v>
      </c>
      <c r="O314" s="5">
        <f t="shared" si="37"/>
        <v>5.1862052399779994</v>
      </c>
      <c r="P314" s="5">
        <f t="shared" si="38"/>
        <v>85.574646689768059</v>
      </c>
      <c r="Q314" s="5">
        <f t="shared" si="39"/>
        <v>14.405662380768458</v>
      </c>
    </row>
    <row r="315" spans="1:17" x14ac:dyDescent="0.2">
      <c r="A315" t="str">
        <f t="shared" si="32"/>
        <v>North Dakota_2016</v>
      </c>
      <c r="B315" t="s">
        <v>39</v>
      </c>
      <c r="C315">
        <v>2016</v>
      </c>
      <c r="D315" s="3">
        <v>624247</v>
      </c>
      <c r="E315" s="3">
        <v>532162.22499999998</v>
      </c>
      <c r="F315" s="3">
        <v>92400.053999999989</v>
      </c>
      <c r="G315" s="3">
        <v>0</v>
      </c>
      <c r="H315" s="3">
        <v>0</v>
      </c>
      <c r="I315" s="3">
        <v>49.029999999999994</v>
      </c>
      <c r="J315" s="3">
        <v>38.005000000000003</v>
      </c>
      <c r="K315" s="3">
        <f t="shared" si="33"/>
        <v>0</v>
      </c>
      <c r="L315" s="5">
        <f t="shared" si="34"/>
        <v>0</v>
      </c>
      <c r="M315" s="5">
        <f t="shared" si="35"/>
        <v>0</v>
      </c>
      <c r="N315" s="5">
        <f t="shared" si="36"/>
        <v>0</v>
      </c>
      <c r="O315" s="5">
        <f t="shared" si="37"/>
        <v>0</v>
      </c>
      <c r="P315" s="5">
        <f t="shared" si="38"/>
        <v>85.248663589893098</v>
      </c>
      <c r="Q315" s="5">
        <f t="shared" si="39"/>
        <v>14.801841899120058</v>
      </c>
    </row>
    <row r="316" spans="1:17" x14ac:dyDescent="0.2">
      <c r="A316" t="str">
        <f t="shared" si="32"/>
        <v>North Dakota_2017</v>
      </c>
      <c r="B316" t="s">
        <v>39</v>
      </c>
      <c r="C316">
        <v>2017</v>
      </c>
      <c r="D316" s="3">
        <v>834941</v>
      </c>
      <c r="E316" s="3">
        <v>708645</v>
      </c>
      <c r="F316" s="3">
        <v>126296</v>
      </c>
      <c r="G316" s="3">
        <v>0</v>
      </c>
      <c r="H316" s="3">
        <v>0</v>
      </c>
      <c r="I316" s="3">
        <v>47.139999999999993</v>
      </c>
      <c r="J316" s="3">
        <v>36.785000000000004</v>
      </c>
      <c r="K316" s="3">
        <f t="shared" si="33"/>
        <v>0</v>
      </c>
      <c r="L316" s="5">
        <f t="shared" si="34"/>
        <v>0</v>
      </c>
      <c r="M316" s="5">
        <f t="shared" si="35"/>
        <v>0</v>
      </c>
      <c r="N316" s="5">
        <f t="shared" si="36"/>
        <v>0</v>
      </c>
      <c r="O316" s="5">
        <f t="shared" si="37"/>
        <v>0</v>
      </c>
      <c r="P316" s="5">
        <f t="shared" si="38"/>
        <v>84.873661731787024</v>
      </c>
      <c r="Q316" s="5">
        <f t="shared" si="39"/>
        <v>15.126338268212963</v>
      </c>
    </row>
    <row r="317" spans="1:17" x14ac:dyDescent="0.2">
      <c r="A317" t="str">
        <f t="shared" si="32"/>
        <v>Ohio_2009</v>
      </c>
      <c r="B317" t="s">
        <v>40</v>
      </c>
      <c r="C317">
        <v>2009</v>
      </c>
      <c r="D317" s="3">
        <v>11448785</v>
      </c>
      <c r="E317" s="3">
        <v>9890511.2540000007</v>
      </c>
      <c r="F317" s="3">
        <v>1557289.45</v>
      </c>
      <c r="G317" s="3">
        <v>1640</v>
      </c>
      <c r="H317" s="3">
        <v>260</v>
      </c>
      <c r="I317" s="3">
        <v>46.396153846153837</v>
      </c>
      <c r="J317" s="3">
        <v>35.628571428571433</v>
      </c>
      <c r="K317" s="3">
        <f t="shared" si="33"/>
        <v>1900</v>
      </c>
      <c r="L317" s="5">
        <f t="shared" si="34"/>
        <v>2.6287822067322222</v>
      </c>
      <c r="M317" s="5">
        <f t="shared" si="35"/>
        <v>105.31118669043832</v>
      </c>
      <c r="N317" s="5">
        <f t="shared" si="36"/>
        <v>16.595647485737569</v>
      </c>
      <c r="O317" s="5">
        <f t="shared" si="37"/>
        <v>16.595647485737569</v>
      </c>
      <c r="P317" s="5">
        <f t="shared" si="38"/>
        <v>86.389178013212771</v>
      </c>
      <c r="Q317" s="5">
        <f t="shared" si="39"/>
        <v>13.602224602872706</v>
      </c>
    </row>
    <row r="318" spans="1:17" x14ac:dyDescent="0.2">
      <c r="A318" t="str">
        <f t="shared" si="32"/>
        <v>Ohio_2010</v>
      </c>
      <c r="B318" t="s">
        <v>40</v>
      </c>
      <c r="C318">
        <v>2010</v>
      </c>
      <c r="D318" s="3">
        <v>11537145</v>
      </c>
      <c r="E318" s="3">
        <v>9950915.1160000023</v>
      </c>
      <c r="F318" s="3">
        <v>1583869.4190000005</v>
      </c>
      <c r="G318" s="3">
        <v>1669</v>
      </c>
      <c r="H318" s="3">
        <v>160</v>
      </c>
      <c r="I318" s="3">
        <v>53.911111111111119</v>
      </c>
      <c r="J318" s="3">
        <v>32.700000000000003</v>
      </c>
      <c r="K318" s="3">
        <f t="shared" si="33"/>
        <v>1829</v>
      </c>
      <c r="L318" s="5">
        <f t="shared" si="34"/>
        <v>1.6078923208051206</v>
      </c>
      <c r="M318" s="5">
        <f t="shared" si="35"/>
        <v>105.37484845523112</v>
      </c>
      <c r="N318" s="5">
        <f t="shared" si="36"/>
        <v>15.853142176855712</v>
      </c>
      <c r="O318" s="5">
        <f t="shared" si="37"/>
        <v>15.853142176855712</v>
      </c>
      <c r="P318" s="5">
        <f t="shared" si="38"/>
        <v>86.251105589814486</v>
      </c>
      <c r="Q318" s="5">
        <f t="shared" si="39"/>
        <v>13.72843471240069</v>
      </c>
    </row>
    <row r="319" spans="1:17" x14ac:dyDescent="0.2">
      <c r="A319" t="str">
        <f t="shared" si="32"/>
        <v>Ohio_2011</v>
      </c>
      <c r="B319" t="s">
        <v>40</v>
      </c>
      <c r="C319">
        <v>2011</v>
      </c>
      <c r="D319" s="3">
        <v>11514097</v>
      </c>
      <c r="E319" s="3">
        <v>9906484.1740000006</v>
      </c>
      <c r="F319" s="3">
        <v>1603189.1939999997</v>
      </c>
      <c r="G319" s="3">
        <v>1892</v>
      </c>
      <c r="H319" s="3">
        <v>259</v>
      </c>
      <c r="I319" s="3">
        <v>51.58</v>
      </c>
      <c r="J319" s="3">
        <v>31.749999999999993</v>
      </c>
      <c r="K319" s="3">
        <f t="shared" si="33"/>
        <v>2151</v>
      </c>
      <c r="L319" s="5">
        <f t="shared" si="34"/>
        <v>2.6144492380026891</v>
      </c>
      <c r="M319" s="5">
        <f t="shared" si="35"/>
        <v>118.01476750722163</v>
      </c>
      <c r="N319" s="5">
        <f t="shared" si="36"/>
        <v>18.681447620251941</v>
      </c>
      <c r="O319" s="5">
        <f t="shared" si="37"/>
        <v>18.681447620251941</v>
      </c>
      <c r="P319" s="5">
        <f t="shared" si="38"/>
        <v>86.03787317407523</v>
      </c>
      <c r="Q319" s="5">
        <f t="shared" si="39"/>
        <v>13.923707556050639</v>
      </c>
    </row>
    <row r="320" spans="1:17" x14ac:dyDescent="0.2">
      <c r="A320" t="str">
        <f t="shared" si="32"/>
        <v>Ohio_2012</v>
      </c>
      <c r="B320" t="s">
        <v>40</v>
      </c>
      <c r="C320">
        <v>2012</v>
      </c>
      <c r="D320" s="3">
        <v>11528293</v>
      </c>
      <c r="E320" s="3">
        <v>9892316.1860000007</v>
      </c>
      <c r="F320" s="3">
        <v>1635843.5130000003</v>
      </c>
      <c r="G320" s="3">
        <v>1881</v>
      </c>
      <c r="H320" s="3">
        <v>200</v>
      </c>
      <c r="I320" s="3">
        <v>48.569999999999993</v>
      </c>
      <c r="J320" s="3">
        <v>32.945000000000014</v>
      </c>
      <c r="K320" s="3">
        <f t="shared" si="33"/>
        <v>2081</v>
      </c>
      <c r="L320" s="5">
        <f t="shared" si="34"/>
        <v>2.0217712034219848</v>
      </c>
      <c r="M320" s="5">
        <f t="shared" si="35"/>
        <v>114.98654883867242</v>
      </c>
      <c r="N320" s="5">
        <f t="shared" si="36"/>
        <v>18.051241411022431</v>
      </c>
      <c r="O320" s="5">
        <f t="shared" si="37"/>
        <v>18.051241411022431</v>
      </c>
      <c r="P320" s="5">
        <f t="shared" si="38"/>
        <v>85.809028153604359</v>
      </c>
      <c r="Q320" s="5">
        <f t="shared" si="39"/>
        <v>14.189815552050945</v>
      </c>
    </row>
    <row r="321" spans="1:17" x14ac:dyDescent="0.2">
      <c r="A321" t="str">
        <f t="shared" si="32"/>
        <v>Ohio_2013</v>
      </c>
      <c r="B321" t="s">
        <v>40</v>
      </c>
      <c r="C321">
        <v>2013</v>
      </c>
      <c r="D321" s="3">
        <v>11209614</v>
      </c>
      <c r="E321" s="3">
        <v>9590559.0150000025</v>
      </c>
      <c r="F321" s="3">
        <v>1614601.2220000001</v>
      </c>
      <c r="G321" s="3">
        <v>2005</v>
      </c>
      <c r="H321" s="3">
        <v>264</v>
      </c>
      <c r="I321" s="3">
        <v>48.089999999999996</v>
      </c>
      <c r="J321" s="3">
        <v>32.404761904761905</v>
      </c>
      <c r="K321" s="3">
        <f t="shared" si="33"/>
        <v>2269</v>
      </c>
      <c r="L321" s="5">
        <f t="shared" si="34"/>
        <v>2.7527071110984656</v>
      </c>
      <c r="M321" s="5">
        <f t="shared" si="35"/>
        <v>124.17926932548798</v>
      </c>
      <c r="N321" s="5">
        <f t="shared" si="36"/>
        <v>20.241553366601206</v>
      </c>
      <c r="O321" s="5">
        <f t="shared" si="37"/>
        <v>20.241553366601206</v>
      </c>
      <c r="P321" s="5">
        <f t="shared" si="38"/>
        <v>85.556550073891941</v>
      </c>
      <c r="Q321" s="5">
        <f t="shared" si="39"/>
        <v>14.403718290388948</v>
      </c>
    </row>
    <row r="322" spans="1:17" x14ac:dyDescent="0.2">
      <c r="A322" t="str">
        <f t="shared" si="32"/>
        <v>Ohio_2014</v>
      </c>
      <c r="B322" t="s">
        <v>40</v>
      </c>
      <c r="C322">
        <v>2014</v>
      </c>
      <c r="D322" s="3">
        <v>11680583</v>
      </c>
      <c r="E322" s="3">
        <v>9957253.1720000003</v>
      </c>
      <c r="F322" s="3">
        <v>1723329.1569999997</v>
      </c>
      <c r="G322" s="3">
        <v>2025</v>
      </c>
      <c r="H322" s="3">
        <v>297</v>
      </c>
      <c r="I322" s="3">
        <v>47.89</v>
      </c>
      <c r="J322" s="3">
        <v>33.5</v>
      </c>
      <c r="K322" s="3">
        <f t="shared" si="33"/>
        <v>2322</v>
      </c>
      <c r="L322" s="5">
        <f t="shared" si="34"/>
        <v>2.9827503114530627</v>
      </c>
      <c r="M322" s="5">
        <f t="shared" si="35"/>
        <v>117.50512035235067</v>
      </c>
      <c r="N322" s="5">
        <f t="shared" si="36"/>
        <v>19.879144731046388</v>
      </c>
      <c r="O322" s="5">
        <f t="shared" si="37"/>
        <v>19.879144731046388</v>
      </c>
      <c r="P322" s="5">
        <f t="shared" si="38"/>
        <v>85.246200228190673</v>
      </c>
      <c r="Q322" s="5">
        <f t="shared" si="39"/>
        <v>14.753794027233056</v>
      </c>
    </row>
    <row r="323" spans="1:17" x14ac:dyDescent="0.2">
      <c r="A323" t="str">
        <f t="shared" ref="A323:A386" si="40">B323&amp;"_"&amp;C323</f>
        <v>Ohio_2015</v>
      </c>
      <c r="B323" t="s">
        <v>40</v>
      </c>
      <c r="C323">
        <v>2015</v>
      </c>
      <c r="D323" s="3">
        <v>11141119</v>
      </c>
      <c r="E323" s="3">
        <v>9454228.0430000015</v>
      </c>
      <c r="F323" s="3">
        <v>1685110.0910000002</v>
      </c>
      <c r="G323" s="3">
        <v>2093</v>
      </c>
      <c r="H323" s="3">
        <v>248</v>
      </c>
      <c r="I323" s="3">
        <v>45.66</v>
      </c>
      <c r="J323" s="3">
        <v>31.714285714285715</v>
      </c>
      <c r="K323" s="3">
        <f t="shared" ref="K323:K386" si="41">G323+H323</f>
        <v>2341</v>
      </c>
      <c r="L323" s="5">
        <f t="shared" ref="L323:L386" si="42">IF(E323=0,"",H323/E323*100000)</f>
        <v>2.6231649889556188</v>
      </c>
      <c r="M323" s="5">
        <f t="shared" ref="M323:M386" si="43">IF(F323=0,"",G323/F323*100000)</f>
        <v>124.20553477060625</v>
      </c>
      <c r="N323" s="5">
        <f t="shared" ref="N323:N386" si="44">IF(D323=0,"",K323/D323*100000)</f>
        <v>21.012252000898652</v>
      </c>
      <c r="O323" s="5">
        <f t="shared" ref="O323:O386" si="45">N323</f>
        <v>21.012252000898652</v>
      </c>
      <c r="P323" s="5">
        <f t="shared" ref="P323:P386" si="46">IF(D323=0,"",E323/D323*100)</f>
        <v>84.858873179615088</v>
      </c>
      <c r="Q323" s="5">
        <f t="shared" ref="Q323:Q386" si="47">IF(D323=0,"",F323/D323*100)</f>
        <v>15.125142196219251</v>
      </c>
    </row>
    <row r="324" spans="1:17" x14ac:dyDescent="0.2">
      <c r="A324" t="str">
        <f t="shared" si="40"/>
        <v>Ohio_2016</v>
      </c>
      <c r="B324" t="s">
        <v>40</v>
      </c>
      <c r="C324">
        <v>2016</v>
      </c>
      <c r="D324" s="3">
        <v>11653442</v>
      </c>
      <c r="E324" s="3">
        <v>9839824.8600000013</v>
      </c>
      <c r="F324" s="3">
        <v>1814291.4590000007</v>
      </c>
      <c r="G324" s="3">
        <v>1773</v>
      </c>
      <c r="H324" s="3">
        <v>247</v>
      </c>
      <c r="I324" s="3">
        <v>51.490000000000009</v>
      </c>
      <c r="J324" s="3">
        <v>31.576190476190472</v>
      </c>
      <c r="K324" s="3">
        <f t="shared" si="41"/>
        <v>2020</v>
      </c>
      <c r="L324" s="5">
        <f t="shared" si="42"/>
        <v>2.510207280254376</v>
      </c>
      <c r="M324" s="5">
        <f t="shared" si="43"/>
        <v>97.724100017383094</v>
      </c>
      <c r="N324" s="5">
        <f t="shared" si="44"/>
        <v>17.333934471892508</v>
      </c>
      <c r="O324" s="5">
        <f t="shared" si="45"/>
        <v>17.333934471892508</v>
      </c>
      <c r="P324" s="5">
        <f t="shared" si="46"/>
        <v>84.437068979276688</v>
      </c>
      <c r="Q324" s="5">
        <f t="shared" si="47"/>
        <v>15.568717457039739</v>
      </c>
    </row>
    <row r="325" spans="1:17" x14ac:dyDescent="0.2">
      <c r="A325" t="str">
        <f t="shared" si="40"/>
        <v>Ohio_2017</v>
      </c>
      <c r="B325" t="s">
        <v>40</v>
      </c>
      <c r="C325">
        <v>2017</v>
      </c>
      <c r="D325" s="3">
        <v>11305853</v>
      </c>
      <c r="E325" s="3">
        <v>9511472</v>
      </c>
      <c r="F325" s="3">
        <v>1794381</v>
      </c>
      <c r="G325" s="3">
        <v>1888</v>
      </c>
      <c r="H325" s="3">
        <v>241</v>
      </c>
      <c r="I325" s="3">
        <v>45.51</v>
      </c>
      <c r="J325" s="3">
        <v>31.180952380952384</v>
      </c>
      <c r="K325" s="3">
        <f t="shared" si="41"/>
        <v>2129</v>
      </c>
      <c r="L325" s="5">
        <f t="shared" si="42"/>
        <v>2.5337823630243563</v>
      </c>
      <c r="M325" s="5">
        <f t="shared" si="43"/>
        <v>105.21734235928713</v>
      </c>
      <c r="N325" s="5">
        <f t="shared" si="44"/>
        <v>18.83095419691022</v>
      </c>
      <c r="O325" s="5">
        <f t="shared" si="45"/>
        <v>18.83095419691022</v>
      </c>
      <c r="P325" s="5">
        <f t="shared" si="46"/>
        <v>84.128742873271037</v>
      </c>
      <c r="Q325" s="5">
        <f t="shared" si="47"/>
        <v>15.87125712672896</v>
      </c>
    </row>
    <row r="326" spans="1:17" x14ac:dyDescent="0.2">
      <c r="A326" t="str">
        <f t="shared" si="40"/>
        <v>Oklahoma_2009</v>
      </c>
      <c r="B326" t="s">
        <v>41</v>
      </c>
      <c r="C326">
        <v>2009</v>
      </c>
      <c r="D326" s="3">
        <v>3607249</v>
      </c>
      <c r="E326" s="3">
        <v>3126817.0040000002</v>
      </c>
      <c r="F326" s="3">
        <v>480889.26800000004</v>
      </c>
      <c r="G326" s="3">
        <v>633</v>
      </c>
      <c r="H326" s="3">
        <v>36</v>
      </c>
      <c r="I326" s="3">
        <v>48.057692307692307</v>
      </c>
      <c r="J326" s="3">
        <v>35.488461538461543</v>
      </c>
      <c r="K326" s="3">
        <f t="shared" si="41"/>
        <v>669</v>
      </c>
      <c r="L326" s="5">
        <f t="shared" si="42"/>
        <v>1.151330568880327</v>
      </c>
      <c r="M326" s="5">
        <f t="shared" si="43"/>
        <v>131.63113467526998</v>
      </c>
      <c r="N326" s="5">
        <f t="shared" si="44"/>
        <v>18.545988923969485</v>
      </c>
      <c r="O326" s="5">
        <f t="shared" si="45"/>
        <v>18.545988923969485</v>
      </c>
      <c r="P326" s="5">
        <f t="shared" si="46"/>
        <v>86.681485087389305</v>
      </c>
      <c r="Q326" s="5">
        <f t="shared" si="47"/>
        <v>13.33119138712077</v>
      </c>
    </row>
    <row r="327" spans="1:17" x14ac:dyDescent="0.2">
      <c r="A327" t="str">
        <f t="shared" si="40"/>
        <v>Oklahoma_2010</v>
      </c>
      <c r="B327" t="s">
        <v>41</v>
      </c>
      <c r="C327">
        <v>2010</v>
      </c>
      <c r="D327" s="3">
        <v>3629062</v>
      </c>
      <c r="E327" s="3">
        <v>3145983.0489999996</v>
      </c>
      <c r="F327" s="3">
        <v>481997.61999999988</v>
      </c>
      <c r="G327" s="3">
        <v>579</v>
      </c>
      <c r="H327" s="3">
        <v>10</v>
      </c>
      <c r="I327" s="3">
        <v>50.279999999999994</v>
      </c>
      <c r="J327" s="3">
        <v>34.521052631578947</v>
      </c>
      <c r="K327" s="3">
        <f t="shared" si="41"/>
        <v>589</v>
      </c>
      <c r="L327" s="5">
        <f t="shared" si="42"/>
        <v>0.31786566692336937</v>
      </c>
      <c r="M327" s="5">
        <f t="shared" si="43"/>
        <v>120.12507447650886</v>
      </c>
      <c r="N327" s="5">
        <f t="shared" si="44"/>
        <v>16.230089207624449</v>
      </c>
      <c r="O327" s="5">
        <f t="shared" si="45"/>
        <v>16.230089207624449</v>
      </c>
      <c r="P327" s="5">
        <f t="shared" si="46"/>
        <v>86.688600222316396</v>
      </c>
      <c r="Q327" s="5">
        <f t="shared" si="47"/>
        <v>13.281603345437468</v>
      </c>
    </row>
    <row r="328" spans="1:17" x14ac:dyDescent="0.2">
      <c r="A328" t="str">
        <f t="shared" si="40"/>
        <v>Oklahoma_2011</v>
      </c>
      <c r="B328" t="s">
        <v>41</v>
      </c>
      <c r="C328">
        <v>2011</v>
      </c>
      <c r="D328" s="3">
        <v>3556899</v>
      </c>
      <c r="E328" s="3">
        <v>3082829.6419999991</v>
      </c>
      <c r="F328" s="3">
        <v>472157.50199999992</v>
      </c>
      <c r="G328" s="3">
        <v>660</v>
      </c>
      <c r="H328" s="3">
        <v>36</v>
      </c>
      <c r="I328" s="3">
        <v>53.56</v>
      </c>
      <c r="J328" s="3">
        <v>34.184210526315788</v>
      </c>
      <c r="K328" s="3">
        <f t="shared" si="41"/>
        <v>696</v>
      </c>
      <c r="L328" s="5">
        <f t="shared" si="42"/>
        <v>1.1677583318111877</v>
      </c>
      <c r="M328" s="5">
        <f t="shared" si="43"/>
        <v>139.78386390226203</v>
      </c>
      <c r="N328" s="5">
        <f t="shared" si="44"/>
        <v>19.567606502180691</v>
      </c>
      <c r="O328" s="5">
        <f t="shared" si="45"/>
        <v>19.567606502180691</v>
      </c>
      <c r="P328" s="5">
        <f t="shared" si="46"/>
        <v>86.671835269992187</v>
      </c>
      <c r="Q328" s="5">
        <f t="shared" si="47"/>
        <v>13.274414089351424</v>
      </c>
    </row>
    <row r="329" spans="1:17" x14ac:dyDescent="0.2">
      <c r="A329" t="str">
        <f t="shared" si="40"/>
        <v>Oklahoma_2012</v>
      </c>
      <c r="B329" t="s">
        <v>41</v>
      </c>
      <c r="C329">
        <v>2012</v>
      </c>
      <c r="D329" s="3">
        <v>3764791</v>
      </c>
      <c r="E329" s="3">
        <v>3253082.6039999998</v>
      </c>
      <c r="F329" s="3">
        <v>510956.10200000019</v>
      </c>
      <c r="G329" s="3">
        <v>374</v>
      </c>
      <c r="H329" s="3">
        <v>33</v>
      </c>
      <c r="I329" s="3">
        <v>58.43333333333333</v>
      </c>
      <c r="J329" s="3">
        <v>33.068421052631578</v>
      </c>
      <c r="K329" s="3">
        <f t="shared" si="41"/>
        <v>407</v>
      </c>
      <c r="L329" s="5">
        <f t="shared" si="42"/>
        <v>1.0144224422528683</v>
      </c>
      <c r="M329" s="5">
        <f t="shared" si="43"/>
        <v>73.1961118648114</v>
      </c>
      <c r="N329" s="5">
        <f t="shared" si="44"/>
        <v>10.810693076986214</v>
      </c>
      <c r="O329" s="5">
        <f t="shared" si="45"/>
        <v>10.810693076986214</v>
      </c>
      <c r="P329" s="5">
        <f t="shared" si="46"/>
        <v>86.408053036675867</v>
      </c>
      <c r="Q329" s="5">
        <f t="shared" si="47"/>
        <v>13.571964605737746</v>
      </c>
    </row>
    <row r="330" spans="1:17" x14ac:dyDescent="0.2">
      <c r="A330" t="str">
        <f t="shared" si="40"/>
        <v>Oklahoma_2013</v>
      </c>
      <c r="B330" t="s">
        <v>41</v>
      </c>
      <c r="C330">
        <v>2013</v>
      </c>
      <c r="D330" s="3">
        <v>3781894</v>
      </c>
      <c r="E330" s="3">
        <v>3258004.6419999986</v>
      </c>
      <c r="F330" s="3">
        <v>525519.82300000009</v>
      </c>
      <c r="G330" s="3">
        <v>506</v>
      </c>
      <c r="H330" s="3">
        <v>47</v>
      </c>
      <c r="I330" s="3">
        <v>52.120000000000005</v>
      </c>
      <c r="J330" s="3">
        <v>33.755000000000003</v>
      </c>
      <c r="K330" s="3">
        <f t="shared" si="41"/>
        <v>553</v>
      </c>
      <c r="L330" s="5">
        <f t="shared" si="42"/>
        <v>1.4426007684000108</v>
      </c>
      <c r="M330" s="5">
        <f t="shared" si="43"/>
        <v>96.285616232596411</v>
      </c>
      <c r="N330" s="5">
        <f t="shared" si="44"/>
        <v>14.622303004790721</v>
      </c>
      <c r="O330" s="5">
        <f t="shared" si="45"/>
        <v>14.622303004790721</v>
      </c>
      <c r="P330" s="5">
        <f t="shared" si="46"/>
        <v>86.14743411634484</v>
      </c>
      <c r="Q330" s="5">
        <f t="shared" si="47"/>
        <v>13.895678276546091</v>
      </c>
    </row>
    <row r="331" spans="1:17" x14ac:dyDescent="0.2">
      <c r="A331" t="str">
        <f t="shared" si="40"/>
        <v>Oklahoma_2014</v>
      </c>
      <c r="B331" t="s">
        <v>41</v>
      </c>
      <c r="C331">
        <v>2014</v>
      </c>
      <c r="D331" s="3">
        <v>3831863</v>
      </c>
      <c r="E331" s="3">
        <v>3293256.3940000008</v>
      </c>
      <c r="F331" s="3">
        <v>538171.92200000002</v>
      </c>
      <c r="G331" s="3">
        <v>483</v>
      </c>
      <c r="H331" s="3">
        <v>75</v>
      </c>
      <c r="I331" s="3">
        <v>54.260000000000005</v>
      </c>
      <c r="J331" s="3">
        <v>36.36</v>
      </c>
      <c r="K331" s="3">
        <f t="shared" si="41"/>
        <v>558</v>
      </c>
      <c r="L331" s="5">
        <f t="shared" si="42"/>
        <v>2.2773811397327841</v>
      </c>
      <c r="M331" s="5">
        <f t="shared" si="43"/>
        <v>89.748271928612425</v>
      </c>
      <c r="N331" s="5">
        <f t="shared" si="44"/>
        <v>14.562107256966129</v>
      </c>
      <c r="O331" s="5">
        <f t="shared" si="45"/>
        <v>14.562107256966129</v>
      </c>
      <c r="P331" s="5">
        <f t="shared" si="46"/>
        <v>85.944001494834254</v>
      </c>
      <c r="Q331" s="5">
        <f t="shared" si="47"/>
        <v>14.044654571418654</v>
      </c>
    </row>
    <row r="332" spans="1:17" x14ac:dyDescent="0.2">
      <c r="A332" t="str">
        <f t="shared" si="40"/>
        <v>Oklahoma_2015</v>
      </c>
      <c r="B332" t="s">
        <v>41</v>
      </c>
      <c r="C332">
        <v>2015</v>
      </c>
      <c r="D332" s="3">
        <v>4148512</v>
      </c>
      <c r="E332" s="3">
        <v>3545078.0090000001</v>
      </c>
      <c r="F332" s="3">
        <v>602412.29900000012</v>
      </c>
      <c r="G332" s="3">
        <v>540</v>
      </c>
      <c r="H332" s="3">
        <v>26</v>
      </c>
      <c r="I332" s="3">
        <v>51.620000000000005</v>
      </c>
      <c r="J332" s="3">
        <v>31.838095238095235</v>
      </c>
      <c r="K332" s="3">
        <f t="shared" si="41"/>
        <v>566</v>
      </c>
      <c r="L332" s="5">
        <f t="shared" si="42"/>
        <v>0.73341122350461652</v>
      </c>
      <c r="M332" s="5">
        <f t="shared" si="43"/>
        <v>89.639604121030729</v>
      </c>
      <c r="N332" s="5">
        <f t="shared" si="44"/>
        <v>13.643446132010705</v>
      </c>
      <c r="O332" s="5">
        <f t="shared" si="45"/>
        <v>13.643446132010705</v>
      </c>
      <c r="P332" s="5">
        <f t="shared" si="46"/>
        <v>85.4542064479987</v>
      </c>
      <c r="Q332" s="5">
        <f t="shared" si="47"/>
        <v>14.521165637221253</v>
      </c>
    </row>
    <row r="333" spans="1:17" x14ac:dyDescent="0.2">
      <c r="A333" t="str">
        <f t="shared" si="40"/>
        <v>Oklahoma_2016</v>
      </c>
      <c r="B333" t="s">
        <v>41</v>
      </c>
      <c r="C333">
        <v>2016</v>
      </c>
      <c r="D333" s="3">
        <v>3791992</v>
      </c>
      <c r="E333" s="3">
        <v>3240907.236</v>
      </c>
      <c r="F333" s="3">
        <v>551967.5830000001</v>
      </c>
      <c r="G333" s="3">
        <v>335</v>
      </c>
      <c r="H333" s="3">
        <v>23</v>
      </c>
      <c r="I333" s="3">
        <v>50.220000000000006</v>
      </c>
      <c r="J333" s="3">
        <v>32.86666666666666</v>
      </c>
      <c r="K333" s="3">
        <f t="shared" si="41"/>
        <v>358</v>
      </c>
      <c r="L333" s="5">
        <f t="shared" si="42"/>
        <v>0.70967782553341796</v>
      </c>
      <c r="M333" s="5">
        <f t="shared" si="43"/>
        <v>60.691970021000294</v>
      </c>
      <c r="N333" s="5">
        <f t="shared" si="44"/>
        <v>9.4409481876544046</v>
      </c>
      <c r="O333" s="5">
        <f t="shared" si="45"/>
        <v>9.4409481876544046</v>
      </c>
      <c r="P333" s="5">
        <f t="shared" si="46"/>
        <v>85.467143285112414</v>
      </c>
      <c r="Q333" s="5">
        <f t="shared" si="47"/>
        <v>14.556137855776068</v>
      </c>
    </row>
    <row r="334" spans="1:17" x14ac:dyDescent="0.2">
      <c r="A334" t="str">
        <f t="shared" si="40"/>
        <v>Oklahoma_2017</v>
      </c>
      <c r="B334" t="s">
        <v>41</v>
      </c>
      <c r="C334">
        <v>2017</v>
      </c>
      <c r="D334" s="3">
        <v>3999441</v>
      </c>
      <c r="E334" s="3">
        <v>3413192</v>
      </c>
      <c r="F334" s="3">
        <v>586249</v>
      </c>
      <c r="G334" s="3">
        <v>428</v>
      </c>
      <c r="H334" s="3">
        <v>20</v>
      </c>
      <c r="I334" s="3">
        <v>53.77</v>
      </c>
      <c r="J334" s="3">
        <v>34.205263157894734</v>
      </c>
      <c r="K334" s="3">
        <f t="shared" si="41"/>
        <v>448</v>
      </c>
      <c r="L334" s="5">
        <f t="shared" si="42"/>
        <v>0.58596176247922771</v>
      </c>
      <c r="M334" s="5">
        <f t="shared" si="43"/>
        <v>73.006521119865454</v>
      </c>
      <c r="N334" s="5">
        <f t="shared" si="44"/>
        <v>11.201565418767274</v>
      </c>
      <c r="O334" s="5">
        <f t="shared" si="45"/>
        <v>11.201565418767274</v>
      </c>
      <c r="P334" s="5">
        <f t="shared" si="46"/>
        <v>85.341726506279244</v>
      </c>
      <c r="Q334" s="5">
        <f t="shared" si="47"/>
        <v>14.658273493720747</v>
      </c>
    </row>
    <row r="335" spans="1:17" x14ac:dyDescent="0.2">
      <c r="A335" t="str">
        <f t="shared" si="40"/>
        <v>Oregon_2009</v>
      </c>
      <c r="B335" t="s">
        <v>42</v>
      </c>
      <c r="C335">
        <v>2009</v>
      </c>
      <c r="D335" s="3">
        <v>3694697</v>
      </c>
      <c r="E335" s="3">
        <v>3208064.3900000006</v>
      </c>
      <c r="F335" s="3">
        <v>488309.08600000001</v>
      </c>
      <c r="G335" s="3">
        <v>304</v>
      </c>
      <c r="H335" s="3">
        <v>0</v>
      </c>
      <c r="I335" s="3">
        <v>44.307142857142843</v>
      </c>
      <c r="J335" s="3">
        <v>30.285714285714285</v>
      </c>
      <c r="K335" s="3">
        <f t="shared" si="41"/>
        <v>304</v>
      </c>
      <c r="L335" s="5">
        <f t="shared" si="42"/>
        <v>0</v>
      </c>
      <c r="M335" s="5">
        <f t="shared" si="43"/>
        <v>62.255650921883522</v>
      </c>
      <c r="N335" s="5">
        <f t="shared" si="44"/>
        <v>8.2280089544555342</v>
      </c>
      <c r="O335" s="5">
        <f t="shared" si="45"/>
        <v>8.2280089544555342</v>
      </c>
      <c r="P335" s="5">
        <f t="shared" si="46"/>
        <v>86.828889892730061</v>
      </c>
      <c r="Q335" s="5">
        <f t="shared" si="47"/>
        <v>13.216485303124992</v>
      </c>
    </row>
    <row r="336" spans="1:17" x14ac:dyDescent="0.2">
      <c r="A336" t="str">
        <f t="shared" si="40"/>
        <v>Oregon_2010</v>
      </c>
      <c r="B336" t="s">
        <v>42</v>
      </c>
      <c r="C336">
        <v>2010</v>
      </c>
      <c r="D336" s="3">
        <v>3761910</v>
      </c>
      <c r="E336" s="3">
        <v>3255895.9120000005</v>
      </c>
      <c r="F336" s="3">
        <v>508488.38800000009</v>
      </c>
      <c r="G336" s="3">
        <v>261</v>
      </c>
      <c r="H336" s="3">
        <v>0</v>
      </c>
      <c r="I336" s="3">
        <v>45.83</v>
      </c>
      <c r="J336" s="3">
        <v>29.855555555555561</v>
      </c>
      <c r="K336" s="3">
        <f t="shared" si="41"/>
        <v>261</v>
      </c>
      <c r="L336" s="5">
        <f t="shared" si="42"/>
        <v>0</v>
      </c>
      <c r="M336" s="5">
        <f t="shared" si="43"/>
        <v>51.328605757659894</v>
      </c>
      <c r="N336" s="5">
        <f t="shared" si="44"/>
        <v>6.9379650230866767</v>
      </c>
      <c r="O336" s="5">
        <f t="shared" si="45"/>
        <v>6.9379650230866767</v>
      </c>
      <c r="P336" s="5">
        <f t="shared" si="46"/>
        <v>86.549011326693105</v>
      </c>
      <c r="Q336" s="5">
        <f t="shared" si="47"/>
        <v>13.516761113370604</v>
      </c>
    </row>
    <row r="337" spans="1:17" x14ac:dyDescent="0.2">
      <c r="A337" t="str">
        <f t="shared" si="40"/>
        <v>Oregon_2011</v>
      </c>
      <c r="B337" t="s">
        <v>42</v>
      </c>
      <c r="C337">
        <v>2011</v>
      </c>
      <c r="D337" s="3">
        <v>3745417</v>
      </c>
      <c r="E337" s="3">
        <v>3236118.3790000002</v>
      </c>
      <c r="F337" s="3">
        <v>509652.78299999988</v>
      </c>
      <c r="G337" s="3">
        <v>237</v>
      </c>
      <c r="H337" s="3">
        <v>0</v>
      </c>
      <c r="I337" s="3">
        <v>49.155555555555551</v>
      </c>
      <c r="J337" s="3">
        <v>28.942105263157899</v>
      </c>
      <c r="K337" s="3">
        <f t="shared" si="41"/>
        <v>237</v>
      </c>
      <c r="L337" s="5">
        <f t="shared" si="42"/>
        <v>0</v>
      </c>
      <c r="M337" s="5">
        <f t="shared" si="43"/>
        <v>46.502247786214888</v>
      </c>
      <c r="N337" s="5">
        <f t="shared" si="44"/>
        <v>6.3277333338317208</v>
      </c>
      <c r="O337" s="5">
        <f t="shared" si="45"/>
        <v>6.3277333338317208</v>
      </c>
      <c r="P337" s="5">
        <f t="shared" si="46"/>
        <v>86.402084974783861</v>
      </c>
      <c r="Q337" s="5">
        <f t="shared" si="47"/>
        <v>13.607370901557822</v>
      </c>
    </row>
    <row r="338" spans="1:17" x14ac:dyDescent="0.2">
      <c r="A338" t="str">
        <f t="shared" si="40"/>
        <v>Oregon_2012</v>
      </c>
      <c r="B338" t="s">
        <v>42</v>
      </c>
      <c r="C338">
        <v>2012</v>
      </c>
      <c r="D338" s="3">
        <v>3859680</v>
      </c>
      <c r="E338" s="3">
        <v>3327550.7859999998</v>
      </c>
      <c r="F338" s="3">
        <v>531074.98</v>
      </c>
      <c r="G338" s="3">
        <v>220</v>
      </c>
      <c r="H338" s="3">
        <v>0</v>
      </c>
      <c r="I338" s="3">
        <v>44.339999999999996</v>
      </c>
      <c r="J338" s="3">
        <v>30.359999999999996</v>
      </c>
      <c r="K338" s="3">
        <f t="shared" si="41"/>
        <v>220</v>
      </c>
      <c r="L338" s="5">
        <f t="shared" si="42"/>
        <v>0</v>
      </c>
      <c r="M338" s="5">
        <f t="shared" si="43"/>
        <v>41.425412283591292</v>
      </c>
      <c r="N338" s="5">
        <f t="shared" si="44"/>
        <v>5.6999544003647973</v>
      </c>
      <c r="O338" s="5">
        <f t="shared" si="45"/>
        <v>5.6999544003647973</v>
      </c>
      <c r="P338" s="5">
        <f t="shared" si="46"/>
        <v>86.213126114082002</v>
      </c>
      <c r="Q338" s="5">
        <f t="shared" si="47"/>
        <v>13.759559859884757</v>
      </c>
    </row>
    <row r="339" spans="1:17" x14ac:dyDescent="0.2">
      <c r="A339" t="str">
        <f t="shared" si="40"/>
        <v>Oregon_2013</v>
      </c>
      <c r="B339" t="s">
        <v>42</v>
      </c>
      <c r="C339">
        <v>2013</v>
      </c>
      <c r="D339" s="3">
        <v>3894343</v>
      </c>
      <c r="E339" s="3">
        <v>3336479.5720000006</v>
      </c>
      <c r="F339" s="3">
        <v>558167.28100000008</v>
      </c>
      <c r="G339" s="3">
        <v>293</v>
      </c>
      <c r="H339" s="3">
        <v>0</v>
      </c>
      <c r="I339" s="3">
        <v>44.739999999999995</v>
      </c>
      <c r="J339" s="3">
        <v>31.160000000000004</v>
      </c>
      <c r="K339" s="3">
        <f t="shared" si="41"/>
        <v>293</v>
      </c>
      <c r="L339" s="5">
        <f t="shared" si="42"/>
        <v>0</v>
      </c>
      <c r="M339" s="5">
        <f t="shared" si="43"/>
        <v>52.493223801127812</v>
      </c>
      <c r="N339" s="5">
        <f t="shared" si="44"/>
        <v>7.5237337851339756</v>
      </c>
      <c r="O339" s="5">
        <f t="shared" si="45"/>
        <v>7.5237337851339756</v>
      </c>
      <c r="P339" s="5">
        <f t="shared" si="46"/>
        <v>85.675030987255113</v>
      </c>
      <c r="Q339" s="5">
        <f t="shared" si="47"/>
        <v>14.332771432819349</v>
      </c>
    </row>
    <row r="340" spans="1:17" x14ac:dyDescent="0.2">
      <c r="A340" t="str">
        <f t="shared" si="40"/>
        <v>Oregon_2014</v>
      </c>
      <c r="B340" t="s">
        <v>42</v>
      </c>
      <c r="C340">
        <v>2014</v>
      </c>
      <c r="D340" s="3">
        <v>3931719</v>
      </c>
      <c r="E340" s="3">
        <v>3348021.9280000008</v>
      </c>
      <c r="F340" s="3">
        <v>583152.55699999991</v>
      </c>
      <c r="G340" s="3">
        <v>240</v>
      </c>
      <c r="H340" s="3">
        <v>33</v>
      </c>
      <c r="I340" s="3">
        <v>45.41</v>
      </c>
      <c r="J340" s="3">
        <v>34.484999999999999</v>
      </c>
      <c r="K340" s="3">
        <f t="shared" si="41"/>
        <v>273</v>
      </c>
      <c r="L340" s="5">
        <f t="shared" si="42"/>
        <v>0.98565662679853261</v>
      </c>
      <c r="M340" s="5">
        <f t="shared" si="43"/>
        <v>41.15561136088786</v>
      </c>
      <c r="N340" s="5">
        <f t="shared" si="44"/>
        <v>6.9435277546538803</v>
      </c>
      <c r="O340" s="5">
        <f t="shared" si="45"/>
        <v>6.9435277546538803</v>
      </c>
      <c r="P340" s="5">
        <f t="shared" si="46"/>
        <v>85.154150843435175</v>
      </c>
      <c r="Q340" s="5">
        <f t="shared" si="47"/>
        <v>14.831999870794426</v>
      </c>
    </row>
    <row r="341" spans="1:17" x14ac:dyDescent="0.2">
      <c r="A341" t="str">
        <f t="shared" si="40"/>
        <v>Oregon_2015</v>
      </c>
      <c r="B341" t="s">
        <v>42</v>
      </c>
      <c r="C341">
        <v>2015</v>
      </c>
      <c r="D341" s="3">
        <v>3813556</v>
      </c>
      <c r="E341" s="3">
        <v>3232739.9169999999</v>
      </c>
      <c r="F341" s="3">
        <v>579442.79700000002</v>
      </c>
      <c r="G341" s="3">
        <v>268</v>
      </c>
      <c r="H341" s="3">
        <v>0</v>
      </c>
      <c r="I341" s="3">
        <v>45.011111111111106</v>
      </c>
      <c r="J341" s="3">
        <v>33.230000000000004</v>
      </c>
      <c r="K341" s="3">
        <f t="shared" si="41"/>
        <v>268</v>
      </c>
      <c r="L341" s="5">
        <f t="shared" si="42"/>
        <v>0</v>
      </c>
      <c r="M341" s="5">
        <f t="shared" si="43"/>
        <v>46.251329965190678</v>
      </c>
      <c r="N341" s="5">
        <f t="shared" si="44"/>
        <v>7.0275616773426171</v>
      </c>
      <c r="O341" s="5">
        <f t="shared" si="45"/>
        <v>7.0275616773426171</v>
      </c>
      <c r="P341" s="5">
        <f t="shared" si="46"/>
        <v>84.769698334048329</v>
      </c>
      <c r="Q341" s="5">
        <f t="shared" si="47"/>
        <v>15.194291023915737</v>
      </c>
    </row>
    <row r="342" spans="1:17" x14ac:dyDescent="0.2">
      <c r="A342" t="str">
        <f t="shared" si="40"/>
        <v>Oregon_2016</v>
      </c>
      <c r="B342" t="s">
        <v>42</v>
      </c>
      <c r="C342">
        <v>2016</v>
      </c>
      <c r="D342" s="3">
        <v>4029474</v>
      </c>
      <c r="E342" s="3">
        <v>3385524.9970000004</v>
      </c>
      <c r="F342" s="3">
        <v>643979.06999999983</v>
      </c>
      <c r="G342" s="3">
        <v>245</v>
      </c>
      <c r="H342" s="3">
        <v>0</v>
      </c>
      <c r="I342" s="3">
        <v>42.65</v>
      </c>
      <c r="J342" s="3">
        <v>28.833333333333332</v>
      </c>
      <c r="K342" s="3">
        <f t="shared" si="41"/>
        <v>245</v>
      </c>
      <c r="L342" s="5">
        <f t="shared" si="42"/>
        <v>0</v>
      </c>
      <c r="M342" s="5">
        <f t="shared" si="43"/>
        <v>38.044714714097786</v>
      </c>
      <c r="N342" s="5">
        <f t="shared" si="44"/>
        <v>6.0801980605905381</v>
      </c>
      <c r="O342" s="5">
        <f t="shared" si="45"/>
        <v>6.0801980605905381</v>
      </c>
      <c r="P342" s="5">
        <f t="shared" si="46"/>
        <v>84.019030697306903</v>
      </c>
      <c r="Q342" s="5">
        <f t="shared" si="47"/>
        <v>15.981715479489377</v>
      </c>
    </row>
    <row r="343" spans="1:17" x14ac:dyDescent="0.2">
      <c r="A343" t="str">
        <f t="shared" si="40"/>
        <v>Oregon_2017</v>
      </c>
      <c r="B343" t="s">
        <v>42</v>
      </c>
      <c r="C343">
        <v>2017</v>
      </c>
      <c r="D343" s="3">
        <v>3951844</v>
      </c>
      <c r="E343" s="3">
        <v>3314444</v>
      </c>
      <c r="F343" s="3">
        <v>637400</v>
      </c>
      <c r="G343" s="3">
        <v>379</v>
      </c>
      <c r="H343" s="3">
        <v>21</v>
      </c>
      <c r="I343" s="3">
        <v>42.75</v>
      </c>
      <c r="J343" s="3">
        <v>29.842857142857138</v>
      </c>
      <c r="K343" s="3">
        <f t="shared" si="41"/>
        <v>400</v>
      </c>
      <c r="L343" s="5">
        <f t="shared" si="42"/>
        <v>0.6335904302501415</v>
      </c>
      <c r="M343" s="5">
        <f t="shared" si="43"/>
        <v>59.460307499215567</v>
      </c>
      <c r="N343" s="5">
        <f t="shared" si="44"/>
        <v>10.121857036866841</v>
      </c>
      <c r="O343" s="5">
        <f t="shared" si="45"/>
        <v>10.121857036866841</v>
      </c>
      <c r="P343" s="5">
        <f t="shared" si="46"/>
        <v>83.870820811752694</v>
      </c>
      <c r="Q343" s="5">
        <f t="shared" si="47"/>
        <v>16.12917918824731</v>
      </c>
    </row>
    <row r="344" spans="1:17" x14ac:dyDescent="0.2">
      <c r="A344" t="str">
        <f t="shared" si="40"/>
        <v>Pennsylvania_2009</v>
      </c>
      <c r="B344" t="s">
        <v>43</v>
      </c>
      <c r="C344">
        <v>2009</v>
      </c>
      <c r="D344" s="3">
        <v>12539703</v>
      </c>
      <c r="E344" s="3">
        <v>10619881.872999998</v>
      </c>
      <c r="F344" s="3">
        <v>1919363.99</v>
      </c>
      <c r="G344" s="3">
        <v>2188</v>
      </c>
      <c r="H344" s="3">
        <v>244</v>
      </c>
      <c r="I344" s="3">
        <v>42.682142857142857</v>
      </c>
      <c r="J344" s="3">
        <v>38.75</v>
      </c>
      <c r="K344" s="3">
        <f t="shared" si="41"/>
        <v>2432</v>
      </c>
      <c r="L344" s="5">
        <f t="shared" si="42"/>
        <v>2.2975773451901187</v>
      </c>
      <c r="M344" s="5">
        <f t="shared" si="43"/>
        <v>113.99609513357599</v>
      </c>
      <c r="N344" s="5">
        <f t="shared" si="44"/>
        <v>19.394398734962063</v>
      </c>
      <c r="O344" s="5">
        <f t="shared" si="45"/>
        <v>19.394398734962063</v>
      </c>
      <c r="P344" s="5">
        <f t="shared" si="46"/>
        <v>84.690059030903669</v>
      </c>
      <c r="Q344" s="5">
        <f t="shared" si="47"/>
        <v>15.306295452133117</v>
      </c>
    </row>
    <row r="345" spans="1:17" x14ac:dyDescent="0.2">
      <c r="A345" t="str">
        <f t="shared" si="40"/>
        <v>Pennsylvania_2010</v>
      </c>
      <c r="B345" t="s">
        <v>43</v>
      </c>
      <c r="C345">
        <v>2010</v>
      </c>
      <c r="D345" s="3">
        <v>12554832</v>
      </c>
      <c r="E345" s="3">
        <v>10636124.482999999</v>
      </c>
      <c r="F345" s="3">
        <v>1919785.4130000004</v>
      </c>
      <c r="G345" s="3">
        <v>2047</v>
      </c>
      <c r="H345" s="3">
        <v>127</v>
      </c>
      <c r="I345" s="3">
        <v>51.839999999999996</v>
      </c>
      <c r="J345" s="3">
        <v>35.236842105263158</v>
      </c>
      <c r="K345" s="3">
        <f t="shared" si="41"/>
        <v>2174</v>
      </c>
      <c r="L345" s="5">
        <f t="shared" si="42"/>
        <v>1.1940439415031996</v>
      </c>
      <c r="M345" s="5">
        <f t="shared" si="43"/>
        <v>106.62650034418193</v>
      </c>
      <c r="N345" s="5">
        <f t="shared" si="44"/>
        <v>17.316042142180795</v>
      </c>
      <c r="O345" s="5">
        <f t="shared" si="45"/>
        <v>17.316042142180795</v>
      </c>
      <c r="P345" s="5">
        <f t="shared" si="46"/>
        <v>84.717378002350003</v>
      </c>
      <c r="Q345" s="5">
        <f t="shared" si="47"/>
        <v>15.291207504807714</v>
      </c>
    </row>
    <row r="346" spans="1:17" x14ac:dyDescent="0.2">
      <c r="A346" t="str">
        <f t="shared" si="40"/>
        <v>Pennsylvania_2011</v>
      </c>
      <c r="B346" t="s">
        <v>43</v>
      </c>
      <c r="C346">
        <v>2011</v>
      </c>
      <c r="D346" s="3">
        <v>12537929</v>
      </c>
      <c r="E346" s="3">
        <v>10609877.874999996</v>
      </c>
      <c r="F346" s="3">
        <v>1922941.3540000001</v>
      </c>
      <c r="G346" s="3">
        <v>2426</v>
      </c>
      <c r="H346" s="3">
        <v>212</v>
      </c>
      <c r="I346" s="3">
        <v>52.35</v>
      </c>
      <c r="J346" s="3">
        <v>33.53</v>
      </c>
      <c r="K346" s="3">
        <f t="shared" si="41"/>
        <v>2638</v>
      </c>
      <c r="L346" s="5">
        <f t="shared" si="42"/>
        <v>1.9981379851650751</v>
      </c>
      <c r="M346" s="5">
        <f t="shared" si="43"/>
        <v>126.16089382827843</v>
      </c>
      <c r="N346" s="5">
        <f t="shared" si="44"/>
        <v>21.040157429508493</v>
      </c>
      <c r="O346" s="5">
        <f t="shared" si="45"/>
        <v>21.040157429508493</v>
      </c>
      <c r="P346" s="5">
        <f t="shared" si="46"/>
        <v>84.622252008286196</v>
      </c>
      <c r="Q346" s="5">
        <f t="shared" si="47"/>
        <v>15.336993485925788</v>
      </c>
    </row>
    <row r="347" spans="1:17" x14ac:dyDescent="0.2">
      <c r="A347" t="str">
        <f t="shared" si="40"/>
        <v>Pennsylvania_2012</v>
      </c>
      <c r="B347" t="s">
        <v>43</v>
      </c>
      <c r="C347">
        <v>2012</v>
      </c>
      <c r="D347" s="3">
        <v>12638726</v>
      </c>
      <c r="E347" s="3">
        <v>10678140.990000002</v>
      </c>
      <c r="F347" s="3">
        <v>1963042.4460000002</v>
      </c>
      <c r="G347" s="3">
        <v>2112</v>
      </c>
      <c r="H347" s="3">
        <v>78</v>
      </c>
      <c r="I347" s="3">
        <v>44.390909090909098</v>
      </c>
      <c r="J347" s="3">
        <v>34.695238095238096</v>
      </c>
      <c r="K347" s="3">
        <f t="shared" si="41"/>
        <v>2190</v>
      </c>
      <c r="L347" s="5">
        <f t="shared" si="42"/>
        <v>0.73046422662003063</v>
      </c>
      <c r="M347" s="5">
        <f t="shared" si="43"/>
        <v>107.5880964420063</v>
      </c>
      <c r="N347" s="5">
        <f t="shared" si="44"/>
        <v>17.327695845293267</v>
      </c>
      <c r="O347" s="5">
        <f t="shared" si="45"/>
        <v>17.327695845293267</v>
      </c>
      <c r="P347" s="5">
        <f t="shared" si="46"/>
        <v>84.487479117752855</v>
      </c>
      <c r="Q347" s="5">
        <f t="shared" si="47"/>
        <v>15.531964582506181</v>
      </c>
    </row>
    <row r="348" spans="1:17" x14ac:dyDescent="0.2">
      <c r="A348" t="str">
        <f t="shared" si="40"/>
        <v>Pennsylvania_2013</v>
      </c>
      <c r="B348" t="s">
        <v>43</v>
      </c>
      <c r="C348">
        <v>2013</v>
      </c>
      <c r="D348" s="3">
        <v>12666382</v>
      </c>
      <c r="E348" s="3">
        <v>10677786.371000003</v>
      </c>
      <c r="F348" s="3">
        <v>1990010.1780000003</v>
      </c>
      <c r="G348" s="3">
        <v>2536</v>
      </c>
      <c r="H348" s="3">
        <v>205</v>
      </c>
      <c r="I348" s="3">
        <v>45.272727272727273</v>
      </c>
      <c r="J348" s="3">
        <v>33.077272727272728</v>
      </c>
      <c r="K348" s="3">
        <f t="shared" si="41"/>
        <v>2741</v>
      </c>
      <c r="L348" s="5">
        <f t="shared" si="42"/>
        <v>1.9198735850041284</v>
      </c>
      <c r="M348" s="5">
        <f t="shared" si="43"/>
        <v>127.43653414620876</v>
      </c>
      <c r="N348" s="5">
        <f t="shared" si="44"/>
        <v>21.639960013838206</v>
      </c>
      <c r="O348" s="5">
        <f t="shared" si="45"/>
        <v>21.639960013838206</v>
      </c>
      <c r="P348" s="5">
        <f t="shared" si="46"/>
        <v>84.300207991516459</v>
      </c>
      <c r="Q348" s="5">
        <f t="shared" si="47"/>
        <v>15.710959751569156</v>
      </c>
    </row>
    <row r="349" spans="1:17" x14ac:dyDescent="0.2">
      <c r="A349" t="str">
        <f t="shared" si="40"/>
        <v>Pennsylvania_2014</v>
      </c>
      <c r="B349" t="s">
        <v>43</v>
      </c>
      <c r="C349">
        <v>2014</v>
      </c>
      <c r="D349" s="3">
        <v>12566922</v>
      </c>
      <c r="E349" s="3">
        <v>10559016.259000003</v>
      </c>
      <c r="F349" s="3">
        <v>2012054.3010000007</v>
      </c>
      <c r="G349" s="3">
        <v>2163</v>
      </c>
      <c r="H349" s="3">
        <v>269</v>
      </c>
      <c r="I349" s="3">
        <v>51.779999999999994</v>
      </c>
      <c r="J349" s="3">
        <v>38.565000000000005</v>
      </c>
      <c r="K349" s="3">
        <f t="shared" si="41"/>
        <v>2432</v>
      </c>
      <c r="L349" s="5">
        <f t="shared" si="42"/>
        <v>2.547585811042929</v>
      </c>
      <c r="M349" s="5">
        <f t="shared" si="43"/>
        <v>107.50206885196781</v>
      </c>
      <c r="N349" s="5">
        <f t="shared" si="44"/>
        <v>19.352391938137277</v>
      </c>
      <c r="O349" s="5">
        <f t="shared" si="45"/>
        <v>19.352391938137277</v>
      </c>
      <c r="P349" s="5">
        <f t="shared" si="46"/>
        <v>84.022294870613536</v>
      </c>
      <c r="Q349" s="5">
        <f t="shared" si="47"/>
        <v>16.01071687243703</v>
      </c>
    </row>
    <row r="350" spans="1:17" x14ac:dyDescent="0.2">
      <c r="A350" t="str">
        <f t="shared" si="40"/>
        <v>Pennsylvania_2015</v>
      </c>
      <c r="B350" t="s">
        <v>43</v>
      </c>
      <c r="C350">
        <v>2015</v>
      </c>
      <c r="D350" s="3">
        <v>12617386</v>
      </c>
      <c r="E350" s="3">
        <v>10579457.040000001</v>
      </c>
      <c r="F350" s="3">
        <v>2045079.628</v>
      </c>
      <c r="G350" s="3">
        <v>2560</v>
      </c>
      <c r="H350" s="3">
        <v>226</v>
      </c>
      <c r="I350" s="3">
        <v>50.19</v>
      </c>
      <c r="J350" s="3">
        <v>37.299999999999997</v>
      </c>
      <c r="K350" s="3">
        <f t="shared" si="41"/>
        <v>2786</v>
      </c>
      <c r="L350" s="5">
        <f t="shared" si="42"/>
        <v>2.1362154895616454</v>
      </c>
      <c r="M350" s="5">
        <f t="shared" si="43"/>
        <v>125.17849989555516</v>
      </c>
      <c r="N350" s="5">
        <f t="shared" si="44"/>
        <v>22.080643328182241</v>
      </c>
      <c r="O350" s="5">
        <f t="shared" si="45"/>
        <v>22.080643328182241</v>
      </c>
      <c r="P350" s="5">
        <f t="shared" si="46"/>
        <v>83.848247489614735</v>
      </c>
      <c r="Q350" s="5">
        <f t="shared" si="47"/>
        <v>16.208425643790246</v>
      </c>
    </row>
    <row r="351" spans="1:17" x14ac:dyDescent="0.2">
      <c r="A351" t="str">
        <f t="shared" si="40"/>
        <v>Pennsylvania_2016</v>
      </c>
      <c r="B351" t="s">
        <v>43</v>
      </c>
      <c r="C351">
        <v>2016</v>
      </c>
      <c r="D351" s="3">
        <v>12893949</v>
      </c>
      <c r="E351" s="3">
        <v>10749722.263999999</v>
      </c>
      <c r="F351" s="3">
        <v>2148218.835</v>
      </c>
      <c r="G351" s="3">
        <v>2171</v>
      </c>
      <c r="H351" s="3">
        <v>158</v>
      </c>
      <c r="I351" s="3">
        <v>58.86666666666666</v>
      </c>
      <c r="J351" s="3">
        <v>38.023809523809511</v>
      </c>
      <c r="K351" s="3">
        <f t="shared" si="41"/>
        <v>2329</v>
      </c>
      <c r="L351" s="5">
        <f t="shared" si="42"/>
        <v>1.4698054156164571</v>
      </c>
      <c r="M351" s="5">
        <f t="shared" si="43"/>
        <v>101.06046761292828</v>
      </c>
      <c r="N351" s="5">
        <f t="shared" si="44"/>
        <v>18.062736249383335</v>
      </c>
      <c r="O351" s="5">
        <f t="shared" si="45"/>
        <v>18.062736249383335</v>
      </c>
      <c r="P351" s="5">
        <f t="shared" si="46"/>
        <v>83.370286822136492</v>
      </c>
      <c r="Q351" s="5">
        <f t="shared" si="47"/>
        <v>16.660674204621099</v>
      </c>
    </row>
    <row r="352" spans="1:17" x14ac:dyDescent="0.2">
      <c r="A352" t="str">
        <f t="shared" si="40"/>
        <v>Pennsylvania_2017</v>
      </c>
      <c r="B352" t="s">
        <v>43</v>
      </c>
      <c r="C352">
        <v>2017</v>
      </c>
      <c r="D352" s="3">
        <v>12858104</v>
      </c>
      <c r="E352" s="3">
        <v>10664700</v>
      </c>
      <c r="F352" s="3">
        <v>2193404</v>
      </c>
      <c r="G352" s="3">
        <v>2393</v>
      </c>
      <c r="H352" s="3">
        <v>219</v>
      </c>
      <c r="I352" s="3">
        <v>43.56</v>
      </c>
      <c r="J352" s="3">
        <v>36.023809523809533</v>
      </c>
      <c r="K352" s="3">
        <f t="shared" si="41"/>
        <v>2612</v>
      </c>
      <c r="L352" s="5">
        <f t="shared" si="42"/>
        <v>2.0535036147289656</v>
      </c>
      <c r="M352" s="5">
        <f t="shared" si="43"/>
        <v>109.09982839458668</v>
      </c>
      <c r="N352" s="5">
        <f t="shared" si="44"/>
        <v>20.314036968436405</v>
      </c>
      <c r="O352" s="5">
        <f t="shared" si="45"/>
        <v>20.314036968436405</v>
      </c>
      <c r="P352" s="5">
        <f t="shared" si="46"/>
        <v>82.94146633127248</v>
      </c>
      <c r="Q352" s="5">
        <f t="shared" si="47"/>
        <v>17.05853366872752</v>
      </c>
    </row>
    <row r="353" spans="1:17" x14ac:dyDescent="0.2">
      <c r="A353" t="str">
        <f t="shared" si="40"/>
        <v>Puerto Rico_2009</v>
      </c>
      <c r="B353" t="s">
        <v>44</v>
      </c>
      <c r="C353">
        <v>2009</v>
      </c>
      <c r="D353" s="3">
        <v>3889937</v>
      </c>
      <c r="E353" s="3">
        <v>3372492.8280000011</v>
      </c>
      <c r="F353" s="3">
        <v>517350.12300000014</v>
      </c>
      <c r="G353" s="3" t="s">
        <v>61</v>
      </c>
      <c r="H353" s="3" t="s">
        <v>61</v>
      </c>
      <c r="I353" s="3" t="s">
        <v>61</v>
      </c>
      <c r="J353" s="3" t="s">
        <v>61</v>
      </c>
      <c r="K353" s="3" t="e">
        <f t="shared" si="41"/>
        <v>#VALUE!</v>
      </c>
      <c r="L353" s="5" t="e">
        <f t="shared" si="42"/>
        <v>#VALUE!</v>
      </c>
      <c r="M353" s="5" t="e">
        <f t="shared" si="43"/>
        <v>#VALUE!</v>
      </c>
      <c r="N353" s="5" t="e">
        <f t="shared" si="44"/>
        <v>#VALUE!</v>
      </c>
      <c r="O353" s="5" t="e">
        <f t="shared" si="45"/>
        <v>#VALUE!</v>
      </c>
      <c r="P353" s="5">
        <f t="shared" si="46"/>
        <v>86.697877831954642</v>
      </c>
      <c r="Q353" s="5">
        <f t="shared" si="47"/>
        <v>13.299704416806755</v>
      </c>
    </row>
    <row r="354" spans="1:17" x14ac:dyDescent="0.2">
      <c r="A354" t="str">
        <f t="shared" si="40"/>
        <v>Puerto Rico_2010</v>
      </c>
      <c r="B354" t="s">
        <v>44</v>
      </c>
      <c r="C354">
        <v>2010</v>
      </c>
      <c r="D354" s="3">
        <v>3605444</v>
      </c>
      <c r="E354" s="3">
        <v>3107248.4500000007</v>
      </c>
      <c r="F354" s="3">
        <v>499929.33599999995</v>
      </c>
      <c r="G354" s="3" t="s">
        <v>61</v>
      </c>
      <c r="H354" s="3" t="s">
        <v>61</v>
      </c>
      <c r="I354" s="3" t="s">
        <v>61</v>
      </c>
      <c r="J354" s="3" t="s">
        <v>61</v>
      </c>
      <c r="K354" s="3" t="e">
        <f t="shared" si="41"/>
        <v>#VALUE!</v>
      </c>
      <c r="L354" s="5" t="e">
        <f t="shared" si="42"/>
        <v>#VALUE!</v>
      </c>
      <c r="M354" s="5" t="e">
        <f t="shared" si="43"/>
        <v>#VALUE!</v>
      </c>
      <c r="N354" s="5" t="e">
        <f t="shared" si="44"/>
        <v>#VALUE!</v>
      </c>
      <c r="O354" s="5" t="e">
        <f t="shared" si="45"/>
        <v>#VALUE!</v>
      </c>
      <c r="P354" s="5">
        <f t="shared" si="46"/>
        <v>86.182130411677477</v>
      </c>
      <c r="Q354" s="5">
        <f t="shared" si="47"/>
        <v>13.865957590798802</v>
      </c>
    </row>
    <row r="355" spans="1:17" x14ac:dyDescent="0.2">
      <c r="A355" t="str">
        <f t="shared" si="40"/>
        <v>Puerto Rico_2011</v>
      </c>
      <c r="B355" t="s">
        <v>44</v>
      </c>
      <c r="C355">
        <v>2011</v>
      </c>
      <c r="D355" s="3">
        <v>3685160</v>
      </c>
      <c r="E355" s="3">
        <v>3150968.2370000011</v>
      </c>
      <c r="F355" s="3">
        <v>534464.071</v>
      </c>
      <c r="G355" s="3" t="s">
        <v>61</v>
      </c>
      <c r="H355" s="3" t="s">
        <v>61</v>
      </c>
      <c r="I355" s="3" t="s">
        <v>61</v>
      </c>
      <c r="J355" s="3" t="s">
        <v>61</v>
      </c>
      <c r="K355" s="3" t="e">
        <f t="shared" si="41"/>
        <v>#VALUE!</v>
      </c>
      <c r="L355" s="5" t="e">
        <f t="shared" si="42"/>
        <v>#VALUE!</v>
      </c>
      <c r="M355" s="5" t="e">
        <f t="shared" si="43"/>
        <v>#VALUE!</v>
      </c>
      <c r="N355" s="5" t="e">
        <f t="shared" si="44"/>
        <v>#VALUE!</v>
      </c>
      <c r="O355" s="5" t="e">
        <f t="shared" si="45"/>
        <v>#VALUE!</v>
      </c>
      <c r="P355" s="5">
        <f t="shared" si="46"/>
        <v>85.504245053132053</v>
      </c>
      <c r="Q355" s="5">
        <f t="shared" si="47"/>
        <v>14.503144259679363</v>
      </c>
    </row>
    <row r="356" spans="1:17" x14ac:dyDescent="0.2">
      <c r="A356" t="str">
        <f t="shared" si="40"/>
        <v>Puerto Rico_2012</v>
      </c>
      <c r="B356" t="s">
        <v>44</v>
      </c>
      <c r="C356">
        <v>2012</v>
      </c>
      <c r="D356" s="3">
        <v>3546468</v>
      </c>
      <c r="E356" s="3">
        <v>3022694.4630000005</v>
      </c>
      <c r="F356" s="3">
        <v>524254.94899999973</v>
      </c>
      <c r="G356" s="3" t="s">
        <v>61</v>
      </c>
      <c r="H356" s="3" t="s">
        <v>61</v>
      </c>
      <c r="I356" s="3" t="s">
        <v>61</v>
      </c>
      <c r="J356" s="3" t="s">
        <v>61</v>
      </c>
      <c r="K356" s="3" t="e">
        <f t="shared" si="41"/>
        <v>#VALUE!</v>
      </c>
      <c r="L356" s="5" t="e">
        <f t="shared" si="42"/>
        <v>#VALUE!</v>
      </c>
      <c r="M356" s="5" t="e">
        <f t="shared" si="43"/>
        <v>#VALUE!</v>
      </c>
      <c r="N356" s="5" t="e">
        <f t="shared" si="44"/>
        <v>#VALUE!</v>
      </c>
      <c r="O356" s="5" t="e">
        <f t="shared" si="45"/>
        <v>#VALUE!</v>
      </c>
      <c r="P356" s="5">
        <f t="shared" si="46"/>
        <v>85.231121865472929</v>
      </c>
      <c r="Q356" s="5">
        <f t="shared" si="47"/>
        <v>14.782452541514534</v>
      </c>
    </row>
    <row r="357" spans="1:17" x14ac:dyDescent="0.2">
      <c r="A357" t="str">
        <f t="shared" si="40"/>
        <v>Puerto Rico_2013</v>
      </c>
      <c r="B357" t="s">
        <v>44</v>
      </c>
      <c r="C357">
        <v>2013</v>
      </c>
      <c r="D357" s="3">
        <v>3732530</v>
      </c>
      <c r="E357" s="3">
        <v>3150954.2029999997</v>
      </c>
      <c r="F357" s="3">
        <v>580692.15100000007</v>
      </c>
      <c r="G357" s="3" t="s">
        <v>61</v>
      </c>
      <c r="H357" s="3" t="s">
        <v>61</v>
      </c>
      <c r="I357" s="3" t="s">
        <v>61</v>
      </c>
      <c r="J357" s="3" t="s">
        <v>61</v>
      </c>
      <c r="K357" s="3" t="e">
        <f t="shared" si="41"/>
        <v>#VALUE!</v>
      </c>
      <c r="L357" s="5" t="e">
        <f t="shared" si="42"/>
        <v>#VALUE!</v>
      </c>
      <c r="M357" s="5" t="e">
        <f t="shared" si="43"/>
        <v>#VALUE!</v>
      </c>
      <c r="N357" s="5" t="e">
        <f t="shared" si="44"/>
        <v>#VALUE!</v>
      </c>
      <c r="O357" s="5" t="e">
        <f t="shared" si="45"/>
        <v>#VALUE!</v>
      </c>
      <c r="P357" s="5">
        <f t="shared" si="46"/>
        <v>84.418724109384243</v>
      </c>
      <c r="Q357" s="5">
        <f t="shared" si="47"/>
        <v>15.55760170715306</v>
      </c>
    </row>
    <row r="358" spans="1:17" x14ac:dyDescent="0.2">
      <c r="A358" t="str">
        <f t="shared" si="40"/>
        <v>Puerto Rico_2014</v>
      </c>
      <c r="B358" t="s">
        <v>44</v>
      </c>
      <c r="C358">
        <v>2014</v>
      </c>
      <c r="D358" s="3">
        <v>3455578</v>
      </c>
      <c r="E358" s="3">
        <v>2903876.7190000005</v>
      </c>
      <c r="F358" s="3">
        <v>551070.59100000001</v>
      </c>
      <c r="G358" s="3" t="s">
        <v>61</v>
      </c>
      <c r="H358" s="3" t="s">
        <v>61</v>
      </c>
      <c r="I358" s="3" t="s">
        <v>61</v>
      </c>
      <c r="J358" s="3" t="s">
        <v>61</v>
      </c>
      <c r="K358" s="3" t="e">
        <f t="shared" si="41"/>
        <v>#VALUE!</v>
      </c>
      <c r="L358" s="5" t="e">
        <f t="shared" si="42"/>
        <v>#VALUE!</v>
      </c>
      <c r="M358" s="5" t="e">
        <f t="shared" si="43"/>
        <v>#VALUE!</v>
      </c>
      <c r="N358" s="5" t="e">
        <f t="shared" si="44"/>
        <v>#VALUE!</v>
      </c>
      <c r="O358" s="5" t="e">
        <f t="shared" si="45"/>
        <v>#VALUE!</v>
      </c>
      <c r="P358" s="5">
        <f t="shared" si="46"/>
        <v>84.034471772884316</v>
      </c>
      <c r="Q358" s="5">
        <f t="shared" si="47"/>
        <v>15.947276866561833</v>
      </c>
    </row>
    <row r="359" spans="1:17" x14ac:dyDescent="0.2">
      <c r="A359" t="str">
        <f t="shared" si="40"/>
        <v>Puerto Rico_2015</v>
      </c>
      <c r="B359" t="s">
        <v>44</v>
      </c>
      <c r="C359">
        <v>2015</v>
      </c>
      <c r="D359" s="3">
        <v>3474636</v>
      </c>
      <c r="E359" s="3">
        <v>2894402.2869999995</v>
      </c>
      <c r="F359" s="3">
        <v>580467.55299999984</v>
      </c>
      <c r="G359" s="3" t="s">
        <v>61</v>
      </c>
      <c r="H359" s="3" t="s">
        <v>61</v>
      </c>
      <c r="I359" s="3" t="s">
        <v>61</v>
      </c>
      <c r="J359" s="3" t="s">
        <v>61</v>
      </c>
      <c r="K359" s="3" t="e">
        <f t="shared" si="41"/>
        <v>#VALUE!</v>
      </c>
      <c r="L359" s="5" t="e">
        <f t="shared" si="42"/>
        <v>#VALUE!</v>
      </c>
      <c r="M359" s="5" t="e">
        <f t="shared" si="43"/>
        <v>#VALUE!</v>
      </c>
      <c r="N359" s="5" t="e">
        <f t="shared" si="44"/>
        <v>#VALUE!</v>
      </c>
      <c r="O359" s="5" t="e">
        <f t="shared" si="45"/>
        <v>#VALUE!</v>
      </c>
      <c r="P359" s="5">
        <f t="shared" si="46"/>
        <v>83.300877761008621</v>
      </c>
      <c r="Q359" s="5">
        <f t="shared" si="47"/>
        <v>16.705852152570795</v>
      </c>
    </row>
    <row r="360" spans="1:17" x14ac:dyDescent="0.2">
      <c r="A360" t="str">
        <f t="shared" si="40"/>
        <v>Puerto Rico_2016</v>
      </c>
      <c r="B360" t="s">
        <v>44</v>
      </c>
      <c r="C360">
        <v>2016</v>
      </c>
      <c r="D360" s="3">
        <v>3399813</v>
      </c>
      <c r="E360" s="3">
        <v>2812112.0280000023</v>
      </c>
      <c r="F360" s="3">
        <v>588473.19500000018</v>
      </c>
      <c r="G360" s="3" t="s">
        <v>61</v>
      </c>
      <c r="H360" s="3" t="s">
        <v>61</v>
      </c>
      <c r="I360" s="3" t="s">
        <v>61</v>
      </c>
      <c r="J360" s="3" t="s">
        <v>61</v>
      </c>
      <c r="K360" s="3" t="e">
        <f t="shared" si="41"/>
        <v>#VALUE!</v>
      </c>
      <c r="L360" s="5" t="e">
        <f t="shared" si="42"/>
        <v>#VALUE!</v>
      </c>
      <c r="M360" s="5" t="e">
        <f t="shared" si="43"/>
        <v>#VALUE!</v>
      </c>
      <c r="N360" s="5" t="e">
        <f t="shared" si="44"/>
        <v>#VALUE!</v>
      </c>
      <c r="O360" s="5" t="e">
        <f t="shared" si="45"/>
        <v>#VALUE!</v>
      </c>
      <c r="P360" s="5">
        <f t="shared" si="46"/>
        <v>82.713726549077919</v>
      </c>
      <c r="Q360" s="5">
        <f t="shared" si="47"/>
        <v>17.308987141351604</v>
      </c>
    </row>
    <row r="361" spans="1:17" x14ac:dyDescent="0.2">
      <c r="A361" t="str">
        <f t="shared" si="40"/>
        <v>Puerto Rico_2017</v>
      </c>
      <c r="B361" t="s">
        <v>44</v>
      </c>
      <c r="C361">
        <v>2017</v>
      </c>
      <c r="D361" s="3">
        <v>3536555</v>
      </c>
      <c r="E361" s="3">
        <v>2891999</v>
      </c>
      <c r="F361" s="3">
        <v>644556</v>
      </c>
      <c r="G361" s="3" t="s">
        <v>61</v>
      </c>
      <c r="H361" s="3" t="s">
        <v>61</v>
      </c>
      <c r="I361" s="3">
        <v>17.3</v>
      </c>
      <c r="J361" s="3">
        <v>10.1</v>
      </c>
      <c r="K361" s="3" t="e">
        <f t="shared" si="41"/>
        <v>#VALUE!</v>
      </c>
      <c r="L361" s="5" t="e">
        <f t="shared" si="42"/>
        <v>#VALUE!</v>
      </c>
      <c r="M361" s="5" t="e">
        <f t="shared" si="43"/>
        <v>#VALUE!</v>
      </c>
      <c r="N361" s="5" t="e">
        <f t="shared" si="44"/>
        <v>#VALUE!</v>
      </c>
      <c r="O361" s="5" t="e">
        <f t="shared" si="45"/>
        <v>#VALUE!</v>
      </c>
      <c r="P361" s="5">
        <f t="shared" si="46"/>
        <v>81.774466960078385</v>
      </c>
      <c r="Q361" s="5">
        <f t="shared" si="47"/>
        <v>18.225533039921618</v>
      </c>
    </row>
    <row r="362" spans="1:17" x14ac:dyDescent="0.2">
      <c r="A362" t="str">
        <f t="shared" si="40"/>
        <v>Rhode Island_2009</v>
      </c>
      <c r="B362" t="s">
        <v>45</v>
      </c>
      <c r="C362">
        <v>2009</v>
      </c>
      <c r="D362" s="3">
        <v>1057381</v>
      </c>
      <c r="E362" s="3">
        <v>907960.3679999999</v>
      </c>
      <c r="F362" s="3">
        <v>149383.14499999999</v>
      </c>
      <c r="G362" s="3">
        <v>70</v>
      </c>
      <c r="H362" s="3">
        <v>0</v>
      </c>
      <c r="I362" s="3">
        <v>49.460714285714275</v>
      </c>
      <c r="J362" s="3">
        <v>55.603571428571435</v>
      </c>
      <c r="K362" s="3">
        <f t="shared" si="41"/>
        <v>70</v>
      </c>
      <c r="L362" s="5">
        <f t="shared" si="42"/>
        <v>0</v>
      </c>
      <c r="M362" s="5">
        <f t="shared" si="43"/>
        <v>46.859369576132572</v>
      </c>
      <c r="N362" s="5">
        <f t="shared" si="44"/>
        <v>6.6201303030790228</v>
      </c>
      <c r="O362" s="5">
        <f t="shared" si="45"/>
        <v>6.6201303030790228</v>
      </c>
      <c r="P362" s="5">
        <f t="shared" si="46"/>
        <v>85.868799231308287</v>
      </c>
      <c r="Q362" s="5">
        <f t="shared" si="47"/>
        <v>14.127655499767823</v>
      </c>
    </row>
    <row r="363" spans="1:17" x14ac:dyDescent="0.2">
      <c r="A363" t="str">
        <f t="shared" si="40"/>
        <v>Rhode Island_2010</v>
      </c>
      <c r="B363" t="s">
        <v>45</v>
      </c>
      <c r="C363">
        <v>2010</v>
      </c>
      <c r="D363" s="3">
        <v>1056389</v>
      </c>
      <c r="E363" s="3">
        <v>905806.72899999993</v>
      </c>
      <c r="F363" s="3">
        <v>149863.109</v>
      </c>
      <c r="G363" s="3">
        <v>95</v>
      </c>
      <c r="H363" s="3">
        <v>0</v>
      </c>
      <c r="I363" s="3">
        <v>49.36</v>
      </c>
      <c r="J363" s="3">
        <v>45.144999999999996</v>
      </c>
      <c r="K363" s="3">
        <f t="shared" si="41"/>
        <v>95</v>
      </c>
      <c r="L363" s="5">
        <f t="shared" si="42"/>
        <v>0</v>
      </c>
      <c r="M363" s="5">
        <f t="shared" si="43"/>
        <v>63.391184550962436</v>
      </c>
      <c r="N363" s="5">
        <f t="shared" si="44"/>
        <v>8.9928993959611478</v>
      </c>
      <c r="O363" s="5">
        <f t="shared" si="45"/>
        <v>8.9928993959611478</v>
      </c>
      <c r="P363" s="5">
        <f t="shared" si="46"/>
        <v>85.745566169280437</v>
      </c>
      <c r="Q363" s="5">
        <f t="shared" si="47"/>
        <v>14.186356446346943</v>
      </c>
    </row>
    <row r="364" spans="1:17" x14ac:dyDescent="0.2">
      <c r="A364" t="str">
        <f t="shared" si="40"/>
        <v>Rhode Island_2011</v>
      </c>
      <c r="B364" t="s">
        <v>45</v>
      </c>
      <c r="C364">
        <v>2011</v>
      </c>
      <c r="D364" s="3">
        <v>1053959</v>
      </c>
      <c r="E364" s="3">
        <v>903532.93699999992</v>
      </c>
      <c r="F364" s="3">
        <v>151001.52799999999</v>
      </c>
      <c r="G364" s="3">
        <v>101</v>
      </c>
      <c r="H364" s="3">
        <v>0</v>
      </c>
      <c r="I364" s="3">
        <v>46.440000000000005</v>
      </c>
      <c r="J364" s="3">
        <v>41.975000000000001</v>
      </c>
      <c r="K364" s="3">
        <f t="shared" si="41"/>
        <v>101</v>
      </c>
      <c r="L364" s="5">
        <f t="shared" si="42"/>
        <v>0</v>
      </c>
      <c r="M364" s="5">
        <f t="shared" si="43"/>
        <v>66.886740377885445</v>
      </c>
      <c r="N364" s="5">
        <f t="shared" si="44"/>
        <v>9.582915464453551</v>
      </c>
      <c r="O364" s="5">
        <f t="shared" si="45"/>
        <v>9.582915464453551</v>
      </c>
      <c r="P364" s="5">
        <f t="shared" si="46"/>
        <v>85.727522322974608</v>
      </c>
      <c r="Q364" s="5">
        <f t="shared" si="47"/>
        <v>14.327077998290255</v>
      </c>
    </row>
    <row r="365" spans="1:17" x14ac:dyDescent="0.2">
      <c r="A365" t="str">
        <f t="shared" si="40"/>
        <v>Rhode Island_2012</v>
      </c>
      <c r="B365" t="s">
        <v>45</v>
      </c>
      <c r="C365">
        <v>2012</v>
      </c>
      <c r="D365" s="3">
        <v>1052471</v>
      </c>
      <c r="E365" s="3">
        <v>898907.51400000008</v>
      </c>
      <c r="F365" s="3">
        <v>152633.95199999999</v>
      </c>
      <c r="G365" s="3">
        <v>31</v>
      </c>
      <c r="H365" s="3">
        <v>0</v>
      </c>
      <c r="I365" s="3">
        <v>58.300000000000004</v>
      </c>
      <c r="J365" s="3">
        <v>46.404999999999994</v>
      </c>
      <c r="K365" s="3">
        <f t="shared" si="41"/>
        <v>31</v>
      </c>
      <c r="L365" s="5">
        <f t="shared" si="42"/>
        <v>0</v>
      </c>
      <c r="M365" s="5">
        <f t="shared" si="43"/>
        <v>20.3100290556586</v>
      </c>
      <c r="N365" s="5">
        <f t="shared" si="44"/>
        <v>2.9454493282950316</v>
      </c>
      <c r="O365" s="5">
        <f t="shared" si="45"/>
        <v>2.9454493282950316</v>
      </c>
      <c r="P365" s="5">
        <f t="shared" si="46"/>
        <v>85.409243010021186</v>
      </c>
      <c r="Q365" s="5">
        <f t="shared" si="47"/>
        <v>14.502437786884389</v>
      </c>
    </row>
    <row r="366" spans="1:17" x14ac:dyDescent="0.2">
      <c r="A366" t="str">
        <f t="shared" si="40"/>
        <v>Rhode Island_2013</v>
      </c>
      <c r="B366" t="s">
        <v>45</v>
      </c>
      <c r="C366">
        <v>2013</v>
      </c>
      <c r="D366" s="3">
        <v>1051695</v>
      </c>
      <c r="E366" s="3">
        <v>897377.82699999993</v>
      </c>
      <c r="F366" s="3">
        <v>155903.36700000003</v>
      </c>
      <c r="G366" s="3">
        <v>71</v>
      </c>
      <c r="H366" s="3">
        <v>0</v>
      </c>
      <c r="I366" s="3">
        <v>51.67</v>
      </c>
      <c r="J366" s="3">
        <v>47.5</v>
      </c>
      <c r="K366" s="3">
        <f t="shared" si="41"/>
        <v>71</v>
      </c>
      <c r="L366" s="5">
        <f t="shared" si="42"/>
        <v>0</v>
      </c>
      <c r="M366" s="5">
        <f t="shared" si="43"/>
        <v>45.541030553881484</v>
      </c>
      <c r="N366" s="5">
        <f t="shared" si="44"/>
        <v>6.7510067082186369</v>
      </c>
      <c r="O366" s="5">
        <f t="shared" si="45"/>
        <v>6.7510067082186369</v>
      </c>
      <c r="P366" s="5">
        <f t="shared" si="46"/>
        <v>85.326813096953003</v>
      </c>
      <c r="Q366" s="5">
        <f t="shared" si="47"/>
        <v>14.824009527477076</v>
      </c>
    </row>
    <row r="367" spans="1:17" x14ac:dyDescent="0.2">
      <c r="A367" t="str">
        <f t="shared" si="40"/>
        <v>Rhode Island_2014</v>
      </c>
      <c r="B367" t="s">
        <v>45</v>
      </c>
      <c r="C367">
        <v>2014</v>
      </c>
      <c r="D367" s="3">
        <v>1053252</v>
      </c>
      <c r="E367" s="3">
        <v>892939.52099999995</v>
      </c>
      <c r="F367" s="3">
        <v>158893.87599999999</v>
      </c>
      <c r="G367" s="3">
        <v>56</v>
      </c>
      <c r="H367" s="3">
        <v>0</v>
      </c>
      <c r="I367" s="3">
        <v>51.6</v>
      </c>
      <c r="J367" s="3">
        <v>46.304761904761904</v>
      </c>
      <c r="K367" s="3">
        <f t="shared" si="41"/>
        <v>56</v>
      </c>
      <c r="L367" s="5">
        <f t="shared" si="42"/>
        <v>0</v>
      </c>
      <c r="M367" s="5">
        <f t="shared" si="43"/>
        <v>35.243649037801809</v>
      </c>
      <c r="N367" s="5">
        <f t="shared" si="44"/>
        <v>5.3168662390387107</v>
      </c>
      <c r="O367" s="5">
        <f t="shared" si="45"/>
        <v>5.3168662390387107</v>
      </c>
      <c r="P367" s="5">
        <f t="shared" si="46"/>
        <v>84.779285584076732</v>
      </c>
      <c r="Q367" s="5">
        <f t="shared" si="47"/>
        <v>15.086026515971485</v>
      </c>
    </row>
    <row r="368" spans="1:17" x14ac:dyDescent="0.2">
      <c r="A368" t="str">
        <f t="shared" si="40"/>
        <v>Rhode Island_2015</v>
      </c>
      <c r="B368" t="s">
        <v>45</v>
      </c>
      <c r="C368">
        <v>2015</v>
      </c>
      <c r="D368" s="3">
        <v>1136426</v>
      </c>
      <c r="E368" s="3">
        <v>959634.02899999998</v>
      </c>
      <c r="F368" s="3">
        <v>177165.527</v>
      </c>
      <c r="G368" s="3">
        <v>135</v>
      </c>
      <c r="H368" s="3">
        <v>0</v>
      </c>
      <c r="I368" s="3">
        <v>52.699999999999996</v>
      </c>
      <c r="J368" s="3">
        <v>44.285714285714285</v>
      </c>
      <c r="K368" s="3">
        <f t="shared" si="41"/>
        <v>135</v>
      </c>
      <c r="L368" s="5">
        <f t="shared" si="42"/>
        <v>0</v>
      </c>
      <c r="M368" s="5">
        <f t="shared" si="43"/>
        <v>76.199925733859047</v>
      </c>
      <c r="N368" s="5">
        <f t="shared" si="44"/>
        <v>11.879348061378392</v>
      </c>
      <c r="O368" s="5">
        <f t="shared" si="45"/>
        <v>11.879348061378392</v>
      </c>
      <c r="P368" s="5">
        <f t="shared" si="46"/>
        <v>84.443160311362107</v>
      </c>
      <c r="Q368" s="5">
        <f t="shared" si="47"/>
        <v>15.589710812670601</v>
      </c>
    </row>
    <row r="369" spans="1:17" x14ac:dyDescent="0.2">
      <c r="A369" t="str">
        <f t="shared" si="40"/>
        <v>Rhode Island_2016</v>
      </c>
      <c r="B369" t="s">
        <v>45</v>
      </c>
      <c r="C369">
        <v>2016</v>
      </c>
      <c r="D369" s="3">
        <v>1054491</v>
      </c>
      <c r="E369" s="3">
        <v>888786.679</v>
      </c>
      <c r="F369" s="3">
        <v>165583.03999999998</v>
      </c>
      <c r="G369" s="3">
        <v>21</v>
      </c>
      <c r="H369" s="3">
        <v>0</v>
      </c>
      <c r="I369" s="3">
        <v>54.089999999999996</v>
      </c>
      <c r="J369" s="3">
        <v>42.095238095238088</v>
      </c>
      <c r="K369" s="3">
        <f t="shared" si="41"/>
        <v>21</v>
      </c>
      <c r="L369" s="5">
        <f t="shared" si="42"/>
        <v>0</v>
      </c>
      <c r="M369" s="5">
        <f t="shared" si="43"/>
        <v>12.68245830007711</v>
      </c>
      <c r="N369" s="5">
        <f t="shared" si="44"/>
        <v>1.991482146362558</v>
      </c>
      <c r="O369" s="5">
        <f t="shared" si="45"/>
        <v>1.991482146362558</v>
      </c>
      <c r="P369" s="5">
        <f t="shared" si="46"/>
        <v>84.285847769208075</v>
      </c>
      <c r="Q369" s="5">
        <f t="shared" si="47"/>
        <v>15.702650852401772</v>
      </c>
    </row>
    <row r="370" spans="1:17" x14ac:dyDescent="0.2">
      <c r="A370" t="str">
        <f t="shared" si="40"/>
        <v>Rhode Island_2017</v>
      </c>
      <c r="B370" t="s">
        <v>45</v>
      </c>
      <c r="C370">
        <v>2017</v>
      </c>
      <c r="D370" s="3">
        <v>1056138</v>
      </c>
      <c r="E370" s="3">
        <v>885994</v>
      </c>
      <c r="F370" s="3">
        <v>170144</v>
      </c>
      <c r="G370" s="3">
        <v>79</v>
      </c>
      <c r="H370" s="3">
        <v>0</v>
      </c>
      <c r="I370" s="3">
        <v>45.15</v>
      </c>
      <c r="J370" s="3">
        <v>41.86</v>
      </c>
      <c r="K370" s="3">
        <f t="shared" si="41"/>
        <v>79</v>
      </c>
      <c r="L370" s="5">
        <f t="shared" si="42"/>
        <v>0</v>
      </c>
      <c r="M370" s="5">
        <f t="shared" si="43"/>
        <v>46.431258228324246</v>
      </c>
      <c r="N370" s="5">
        <f t="shared" si="44"/>
        <v>7.4800830952015733</v>
      </c>
      <c r="O370" s="5">
        <f t="shared" si="45"/>
        <v>7.4800830952015733</v>
      </c>
      <c r="P370" s="5">
        <f t="shared" si="46"/>
        <v>83.889984074050929</v>
      </c>
      <c r="Q370" s="5">
        <f t="shared" si="47"/>
        <v>16.110015925949071</v>
      </c>
    </row>
    <row r="371" spans="1:17" x14ac:dyDescent="0.2">
      <c r="A371" t="str">
        <f t="shared" si="40"/>
        <v>South Carolina_2009</v>
      </c>
      <c r="B371" t="s">
        <v>46</v>
      </c>
      <c r="C371">
        <v>2009</v>
      </c>
      <c r="D371" s="3">
        <v>4386090</v>
      </c>
      <c r="E371" s="3">
        <v>3810033.8420000002</v>
      </c>
      <c r="F371" s="3">
        <v>575792.90799999994</v>
      </c>
      <c r="G371" s="3">
        <v>540</v>
      </c>
      <c r="H371" s="3">
        <v>22</v>
      </c>
      <c r="I371" s="3">
        <v>46.961538461538467</v>
      </c>
      <c r="J371" s="3">
        <v>33.75714285714286</v>
      </c>
      <c r="K371" s="3">
        <f t="shared" si="41"/>
        <v>562</v>
      </c>
      <c r="L371" s="5">
        <f t="shared" si="42"/>
        <v>0.57742269261449775</v>
      </c>
      <c r="M371" s="5">
        <f t="shared" si="43"/>
        <v>93.783718503181021</v>
      </c>
      <c r="N371" s="5">
        <f t="shared" si="44"/>
        <v>12.813234566550163</v>
      </c>
      <c r="O371" s="5">
        <f t="shared" si="45"/>
        <v>12.813234566550163</v>
      </c>
      <c r="P371" s="5">
        <f t="shared" si="46"/>
        <v>86.866294170890242</v>
      </c>
      <c r="Q371" s="5">
        <f t="shared" si="47"/>
        <v>13.127703900284763</v>
      </c>
    </row>
    <row r="372" spans="1:17" x14ac:dyDescent="0.2">
      <c r="A372" t="str">
        <f t="shared" si="40"/>
        <v>South Carolina_2010</v>
      </c>
      <c r="B372" t="s">
        <v>46</v>
      </c>
      <c r="C372">
        <v>2010</v>
      </c>
      <c r="D372" s="3">
        <v>4815846</v>
      </c>
      <c r="E372" s="3">
        <v>4177094.2370000002</v>
      </c>
      <c r="F372" s="3">
        <v>639194.92400000012</v>
      </c>
      <c r="G372" s="3">
        <v>567</v>
      </c>
      <c r="H372" s="3">
        <v>0</v>
      </c>
      <c r="I372" s="3">
        <v>53.810000000000016</v>
      </c>
      <c r="J372" s="3">
        <v>33.18</v>
      </c>
      <c r="K372" s="3">
        <f t="shared" si="41"/>
        <v>567</v>
      </c>
      <c r="L372" s="5">
        <f t="shared" si="42"/>
        <v>0</v>
      </c>
      <c r="M372" s="5">
        <f t="shared" si="43"/>
        <v>88.705335213206396</v>
      </c>
      <c r="N372" s="5">
        <f t="shared" si="44"/>
        <v>11.773632296381569</v>
      </c>
      <c r="O372" s="5">
        <f t="shared" si="45"/>
        <v>11.773632296381569</v>
      </c>
      <c r="P372" s="5">
        <f t="shared" si="46"/>
        <v>86.736457872614707</v>
      </c>
      <c r="Q372" s="5">
        <f t="shared" si="47"/>
        <v>13.2727442696465</v>
      </c>
    </row>
    <row r="373" spans="1:17" x14ac:dyDescent="0.2">
      <c r="A373" t="str">
        <f t="shared" si="40"/>
        <v>South Carolina_2011</v>
      </c>
      <c r="B373" t="s">
        <v>46</v>
      </c>
      <c r="C373">
        <v>2011</v>
      </c>
      <c r="D373" s="3">
        <v>4484229</v>
      </c>
      <c r="E373" s="3">
        <v>3880041.4079999998</v>
      </c>
      <c r="F373" s="3">
        <v>604118.67699999991</v>
      </c>
      <c r="G373" s="3">
        <v>591</v>
      </c>
      <c r="H373" s="3">
        <v>10</v>
      </c>
      <c r="I373" s="3">
        <v>50.230000000000004</v>
      </c>
      <c r="J373" s="3">
        <v>30.159999999999997</v>
      </c>
      <c r="K373" s="3">
        <f t="shared" si="41"/>
        <v>601</v>
      </c>
      <c r="L373" s="5">
        <f t="shared" si="42"/>
        <v>0.25772920823426432</v>
      </c>
      <c r="M373" s="5">
        <f t="shared" si="43"/>
        <v>97.828460284468264</v>
      </c>
      <c r="N373" s="5">
        <f t="shared" si="44"/>
        <v>13.402526944988761</v>
      </c>
      <c r="O373" s="5">
        <f t="shared" si="45"/>
        <v>13.402526944988761</v>
      </c>
      <c r="P373" s="5">
        <f t="shared" si="46"/>
        <v>86.526388549737305</v>
      </c>
      <c r="Q373" s="5">
        <f t="shared" si="47"/>
        <v>13.472074619739535</v>
      </c>
    </row>
    <row r="374" spans="1:17" x14ac:dyDescent="0.2">
      <c r="A374" t="str">
        <f t="shared" si="40"/>
        <v>South Carolina_2012</v>
      </c>
      <c r="B374" t="s">
        <v>46</v>
      </c>
      <c r="C374">
        <v>2012</v>
      </c>
      <c r="D374" s="3">
        <v>4634882</v>
      </c>
      <c r="E374" s="3">
        <v>3993140.11</v>
      </c>
      <c r="F374" s="3">
        <v>641779.55899999989</v>
      </c>
      <c r="G374" s="3">
        <v>533</v>
      </c>
      <c r="H374" s="3">
        <v>25</v>
      </c>
      <c r="I374" s="3">
        <v>51.570000000000007</v>
      </c>
      <c r="J374" s="3">
        <v>31.950000000000006</v>
      </c>
      <c r="K374" s="3">
        <f t="shared" si="41"/>
        <v>558</v>
      </c>
      <c r="L374" s="5">
        <f t="shared" si="42"/>
        <v>0.62607369917706202</v>
      </c>
      <c r="M374" s="5">
        <f t="shared" si="43"/>
        <v>83.050323514588612</v>
      </c>
      <c r="N374" s="5">
        <f t="shared" si="44"/>
        <v>12.039141449555782</v>
      </c>
      <c r="O374" s="5">
        <f t="shared" si="45"/>
        <v>12.039141449555782</v>
      </c>
      <c r="P374" s="5">
        <f t="shared" si="46"/>
        <v>86.154083534381243</v>
      </c>
      <c r="Q374" s="5">
        <f t="shared" si="47"/>
        <v>13.84672919396869</v>
      </c>
    </row>
    <row r="375" spans="1:17" x14ac:dyDescent="0.2">
      <c r="A375" t="str">
        <f t="shared" si="40"/>
        <v>South Carolina_2013</v>
      </c>
      <c r="B375" t="s">
        <v>46</v>
      </c>
      <c r="C375">
        <v>2013</v>
      </c>
      <c r="D375" s="3">
        <v>4642701</v>
      </c>
      <c r="E375" s="3">
        <v>3984125.4829999991</v>
      </c>
      <c r="F375" s="3">
        <v>659818.402</v>
      </c>
      <c r="G375" s="3">
        <v>542</v>
      </c>
      <c r="H375" s="3">
        <v>17</v>
      </c>
      <c r="I375" s="3">
        <v>50.25</v>
      </c>
      <c r="J375" s="3">
        <v>32.109523809523807</v>
      </c>
      <c r="K375" s="3">
        <f t="shared" si="41"/>
        <v>559</v>
      </c>
      <c r="L375" s="5">
        <f t="shared" si="42"/>
        <v>0.42669338785984229</v>
      </c>
      <c r="M375" s="5">
        <f t="shared" si="43"/>
        <v>82.143813867137339</v>
      </c>
      <c r="N375" s="5">
        <f t="shared" si="44"/>
        <v>12.040404928079582</v>
      </c>
      <c r="O375" s="5">
        <f t="shared" si="45"/>
        <v>12.040404928079582</v>
      </c>
      <c r="P375" s="5">
        <f t="shared" si="46"/>
        <v>85.814819498391117</v>
      </c>
      <c r="Q375" s="5">
        <f t="shared" si="47"/>
        <v>14.211951232698381</v>
      </c>
    </row>
    <row r="376" spans="1:17" x14ac:dyDescent="0.2">
      <c r="A376" t="str">
        <f t="shared" si="40"/>
        <v>South Carolina_2014</v>
      </c>
      <c r="B376" t="s">
        <v>46</v>
      </c>
      <c r="C376">
        <v>2014</v>
      </c>
      <c r="D376" s="3">
        <v>4725911</v>
      </c>
      <c r="E376" s="3">
        <v>4028025.953999999</v>
      </c>
      <c r="F376" s="3">
        <v>698412.3890000002</v>
      </c>
      <c r="G376" s="3">
        <v>504</v>
      </c>
      <c r="H376" s="3">
        <v>58</v>
      </c>
      <c r="I376" s="3">
        <v>51.64</v>
      </c>
      <c r="J376" s="3">
        <v>33.319047619047623</v>
      </c>
      <c r="K376" s="3">
        <f t="shared" si="41"/>
        <v>562</v>
      </c>
      <c r="L376" s="5">
        <f t="shared" si="42"/>
        <v>1.4399112781883534</v>
      </c>
      <c r="M376" s="5">
        <f t="shared" si="43"/>
        <v>72.163668333781487</v>
      </c>
      <c r="N376" s="5">
        <f t="shared" si="44"/>
        <v>11.891887088013295</v>
      </c>
      <c r="O376" s="5">
        <f t="shared" si="45"/>
        <v>11.891887088013295</v>
      </c>
      <c r="P376" s="5">
        <f t="shared" si="46"/>
        <v>85.232793296361251</v>
      </c>
      <c r="Q376" s="5">
        <f t="shared" si="47"/>
        <v>14.778365250636336</v>
      </c>
    </row>
    <row r="377" spans="1:17" x14ac:dyDescent="0.2">
      <c r="A377" t="str">
        <f t="shared" si="40"/>
        <v>South Carolina_2015</v>
      </c>
      <c r="B377" t="s">
        <v>46</v>
      </c>
      <c r="C377">
        <v>2015</v>
      </c>
      <c r="D377" s="3">
        <v>4630051</v>
      </c>
      <c r="E377" s="3">
        <v>3926476.7890000003</v>
      </c>
      <c r="F377" s="3">
        <v>705285.17800000007</v>
      </c>
      <c r="G377" s="3">
        <v>674</v>
      </c>
      <c r="H377" s="3">
        <v>34</v>
      </c>
      <c r="I377" s="3">
        <v>50.739999999999995</v>
      </c>
      <c r="J377" s="3">
        <v>32.561904761904756</v>
      </c>
      <c r="K377" s="3">
        <f t="shared" si="41"/>
        <v>708</v>
      </c>
      <c r="L377" s="5">
        <f t="shared" si="42"/>
        <v>0.86591623552317398</v>
      </c>
      <c r="M377" s="5">
        <f t="shared" si="43"/>
        <v>95.564180422915385</v>
      </c>
      <c r="N377" s="5">
        <f t="shared" si="44"/>
        <v>15.291408237187882</v>
      </c>
      <c r="O377" s="5">
        <f t="shared" si="45"/>
        <v>15.291408237187882</v>
      </c>
      <c r="P377" s="5">
        <f t="shared" si="46"/>
        <v>84.804180105143558</v>
      </c>
      <c r="Q377" s="5">
        <f t="shared" si="47"/>
        <v>15.232773418694526</v>
      </c>
    </row>
    <row r="378" spans="1:17" x14ac:dyDescent="0.2">
      <c r="A378" t="str">
        <f t="shared" si="40"/>
        <v>South Carolina_2016</v>
      </c>
      <c r="B378" t="s">
        <v>46</v>
      </c>
      <c r="C378">
        <v>2016</v>
      </c>
      <c r="D378" s="3">
        <v>4929093</v>
      </c>
      <c r="E378" s="3">
        <v>4138667.0950000002</v>
      </c>
      <c r="F378" s="3">
        <v>786816.49099999992</v>
      </c>
      <c r="G378" s="3">
        <v>479</v>
      </c>
      <c r="H378" s="3">
        <v>54</v>
      </c>
      <c r="I378" s="3">
        <v>49.879999999999995</v>
      </c>
      <c r="J378" s="3">
        <v>31.486363636363645</v>
      </c>
      <c r="K378" s="3">
        <f t="shared" si="41"/>
        <v>533</v>
      </c>
      <c r="L378" s="5">
        <f t="shared" si="42"/>
        <v>1.3047679061995201</v>
      </c>
      <c r="M378" s="5">
        <f t="shared" si="43"/>
        <v>60.878235964680627</v>
      </c>
      <c r="N378" s="5">
        <f t="shared" si="44"/>
        <v>10.81334841927308</v>
      </c>
      <c r="O378" s="5">
        <f t="shared" si="45"/>
        <v>10.81334841927308</v>
      </c>
      <c r="P378" s="5">
        <f t="shared" si="46"/>
        <v>83.964069961755655</v>
      </c>
      <c r="Q378" s="5">
        <f t="shared" si="47"/>
        <v>15.962703300586941</v>
      </c>
    </row>
    <row r="379" spans="1:17" x14ac:dyDescent="0.2">
      <c r="A379" t="str">
        <f t="shared" si="40"/>
        <v>South Carolina_2017</v>
      </c>
      <c r="B379" t="s">
        <v>46</v>
      </c>
      <c r="C379">
        <v>2017</v>
      </c>
      <c r="D379" s="3">
        <v>4822234</v>
      </c>
      <c r="E379" s="3">
        <v>4041857</v>
      </c>
      <c r="F379" s="3">
        <v>780377</v>
      </c>
      <c r="G379" s="3">
        <v>539</v>
      </c>
      <c r="H379" s="3">
        <v>31</v>
      </c>
      <c r="I379" s="3">
        <v>48.2</v>
      </c>
      <c r="J379" s="3">
        <v>31.152380952380955</v>
      </c>
      <c r="K379" s="3">
        <f t="shared" si="41"/>
        <v>570</v>
      </c>
      <c r="L379" s="5">
        <f t="shared" si="42"/>
        <v>0.76697419032885128</v>
      </c>
      <c r="M379" s="5">
        <f t="shared" si="43"/>
        <v>69.06918066524257</v>
      </c>
      <c r="N379" s="5">
        <f t="shared" si="44"/>
        <v>11.820247627966623</v>
      </c>
      <c r="O379" s="5">
        <f t="shared" si="45"/>
        <v>11.820247627966623</v>
      </c>
      <c r="P379" s="5">
        <f t="shared" si="46"/>
        <v>83.81710634531629</v>
      </c>
      <c r="Q379" s="5">
        <f t="shared" si="47"/>
        <v>16.182893654683699</v>
      </c>
    </row>
    <row r="380" spans="1:17" x14ac:dyDescent="0.2">
      <c r="A380" t="str">
        <f t="shared" si="40"/>
        <v>South Dakota_2009</v>
      </c>
      <c r="B380" t="s">
        <v>47</v>
      </c>
      <c r="C380">
        <v>2009</v>
      </c>
      <c r="D380" s="3">
        <v>786961</v>
      </c>
      <c r="E380" s="3">
        <v>674255.81300000008</v>
      </c>
      <c r="F380" s="3">
        <v>112907.21100000004</v>
      </c>
      <c r="G380" s="3">
        <v>30</v>
      </c>
      <c r="H380" s="3">
        <v>0</v>
      </c>
      <c r="I380" s="3">
        <v>53.349999999999987</v>
      </c>
      <c r="J380" s="3">
        <v>48.511538461538457</v>
      </c>
      <c r="K380" s="3">
        <f t="shared" si="41"/>
        <v>30</v>
      </c>
      <c r="L380" s="5">
        <f t="shared" si="42"/>
        <v>0</v>
      </c>
      <c r="M380" s="5">
        <f t="shared" si="43"/>
        <v>26.57049070143092</v>
      </c>
      <c r="N380" s="5">
        <f t="shared" si="44"/>
        <v>3.8121330027790452</v>
      </c>
      <c r="O380" s="5">
        <f t="shared" si="45"/>
        <v>3.8121330027790452</v>
      </c>
      <c r="P380" s="5">
        <f t="shared" si="46"/>
        <v>85.678427901763882</v>
      </c>
      <c r="Q380" s="5">
        <f t="shared" si="47"/>
        <v>14.347243510161245</v>
      </c>
    </row>
    <row r="381" spans="1:17" x14ac:dyDescent="0.2">
      <c r="A381" t="str">
        <f t="shared" si="40"/>
        <v>South Dakota_2010</v>
      </c>
      <c r="B381" t="s">
        <v>47</v>
      </c>
      <c r="C381">
        <v>2010</v>
      </c>
      <c r="D381" s="3">
        <v>741943</v>
      </c>
      <c r="E381" s="3">
        <v>637016.44799999997</v>
      </c>
      <c r="F381" s="3">
        <v>104586.02800000001</v>
      </c>
      <c r="G381" s="3">
        <v>47</v>
      </c>
      <c r="H381" s="3">
        <v>0</v>
      </c>
      <c r="I381" s="3">
        <v>61.555555555555557</v>
      </c>
      <c r="J381" s="3">
        <v>43.300000000000004</v>
      </c>
      <c r="K381" s="3">
        <f t="shared" si="41"/>
        <v>47</v>
      </c>
      <c r="L381" s="5">
        <f t="shared" si="42"/>
        <v>0</v>
      </c>
      <c r="M381" s="5">
        <f t="shared" si="43"/>
        <v>44.939081155276298</v>
      </c>
      <c r="N381" s="5">
        <f t="shared" si="44"/>
        <v>6.3347184352436772</v>
      </c>
      <c r="O381" s="5">
        <f t="shared" si="45"/>
        <v>6.3347184352436772</v>
      </c>
      <c r="P381" s="5">
        <f t="shared" si="46"/>
        <v>85.857868865937135</v>
      </c>
      <c r="Q381" s="5">
        <f t="shared" si="47"/>
        <v>14.096234885968331</v>
      </c>
    </row>
    <row r="382" spans="1:17" x14ac:dyDescent="0.2">
      <c r="A382" t="str">
        <f t="shared" si="40"/>
        <v>South Dakota_2011</v>
      </c>
      <c r="B382" t="s">
        <v>47</v>
      </c>
      <c r="C382">
        <v>2011</v>
      </c>
      <c r="D382" s="3">
        <v>848110</v>
      </c>
      <c r="E382" s="3">
        <v>728504.08299999998</v>
      </c>
      <c r="F382" s="3">
        <v>119535.86</v>
      </c>
      <c r="G382" s="3">
        <v>40</v>
      </c>
      <c r="H382" s="3">
        <v>0</v>
      </c>
      <c r="I382" s="3">
        <v>61.111111111111114</v>
      </c>
      <c r="J382" s="3">
        <v>42.455555555555563</v>
      </c>
      <c r="K382" s="3">
        <f t="shared" si="41"/>
        <v>40</v>
      </c>
      <c r="L382" s="5">
        <f t="shared" si="42"/>
        <v>0</v>
      </c>
      <c r="M382" s="5">
        <f t="shared" si="43"/>
        <v>33.46276171853367</v>
      </c>
      <c r="N382" s="5">
        <f t="shared" si="44"/>
        <v>4.7163693388829282</v>
      </c>
      <c r="O382" s="5">
        <f t="shared" si="45"/>
        <v>4.7163693388829282</v>
      </c>
      <c r="P382" s="5">
        <f t="shared" si="46"/>
        <v>85.897358007805593</v>
      </c>
      <c r="Q382" s="5">
        <f t="shared" si="47"/>
        <v>14.094381625025058</v>
      </c>
    </row>
    <row r="383" spans="1:17" x14ac:dyDescent="0.2">
      <c r="A383" t="str">
        <f t="shared" si="40"/>
        <v>South Dakota_2012</v>
      </c>
      <c r="B383" t="s">
        <v>47</v>
      </c>
      <c r="C383">
        <v>2012</v>
      </c>
      <c r="D383" s="3">
        <v>798524</v>
      </c>
      <c r="E383" s="3">
        <v>680070.87599999993</v>
      </c>
      <c r="F383" s="3">
        <v>118608.04599999997</v>
      </c>
      <c r="G383" s="3">
        <v>70</v>
      </c>
      <c r="H383" s="3">
        <v>0</v>
      </c>
      <c r="I383" s="3">
        <v>54.19</v>
      </c>
      <c r="J383" s="3">
        <v>46.263157894736842</v>
      </c>
      <c r="K383" s="3">
        <f t="shared" si="41"/>
        <v>70</v>
      </c>
      <c r="L383" s="5">
        <f t="shared" si="42"/>
        <v>0</v>
      </c>
      <c r="M383" s="5">
        <f t="shared" si="43"/>
        <v>59.017918565153678</v>
      </c>
      <c r="N383" s="5">
        <f t="shared" si="44"/>
        <v>8.7661735902740556</v>
      </c>
      <c r="O383" s="5">
        <f t="shared" si="45"/>
        <v>8.7661735902740556</v>
      </c>
      <c r="P383" s="5">
        <f t="shared" si="46"/>
        <v>85.165990752939166</v>
      </c>
      <c r="Q383" s="5">
        <f t="shared" si="47"/>
        <v>14.853410291988716</v>
      </c>
    </row>
    <row r="384" spans="1:17" x14ac:dyDescent="0.2">
      <c r="A384" t="str">
        <f t="shared" si="40"/>
        <v>South Dakota_2013</v>
      </c>
      <c r="B384" t="s">
        <v>47</v>
      </c>
      <c r="C384">
        <v>2013</v>
      </c>
      <c r="D384" s="3">
        <v>773290</v>
      </c>
      <c r="E384" s="3">
        <v>657098.84900000028</v>
      </c>
      <c r="F384" s="3">
        <v>116375.46999999999</v>
      </c>
      <c r="G384" s="3">
        <v>67</v>
      </c>
      <c r="H384" s="3">
        <v>0</v>
      </c>
      <c r="I384" s="3">
        <v>61.877777777777773</v>
      </c>
      <c r="J384" s="3">
        <v>46.768421052631567</v>
      </c>
      <c r="K384" s="3">
        <f t="shared" si="41"/>
        <v>67</v>
      </c>
      <c r="L384" s="5">
        <f t="shared" si="42"/>
        <v>0</v>
      </c>
      <c r="M384" s="5">
        <f t="shared" si="43"/>
        <v>57.572270169993736</v>
      </c>
      <c r="N384" s="5">
        <f t="shared" si="44"/>
        <v>8.6642786018182054</v>
      </c>
      <c r="O384" s="5">
        <f t="shared" si="45"/>
        <v>8.6642786018182054</v>
      </c>
      <c r="P384" s="5">
        <f t="shared" si="46"/>
        <v>84.974440248807085</v>
      </c>
      <c r="Q384" s="5">
        <f t="shared" si="47"/>
        <v>15.049395440261737</v>
      </c>
    </row>
    <row r="385" spans="1:17" x14ac:dyDescent="0.2">
      <c r="A385" t="str">
        <f t="shared" si="40"/>
        <v>South Dakota_2014</v>
      </c>
      <c r="B385" t="s">
        <v>47</v>
      </c>
      <c r="C385">
        <v>2014</v>
      </c>
      <c r="D385" s="3">
        <v>711602</v>
      </c>
      <c r="E385" s="3">
        <v>604791.277</v>
      </c>
      <c r="F385" s="3">
        <v>106730.21599999996</v>
      </c>
      <c r="G385" s="3">
        <v>69</v>
      </c>
      <c r="H385" s="3">
        <v>0</v>
      </c>
      <c r="I385" s="3">
        <v>62.677777777777777</v>
      </c>
      <c r="J385" s="3">
        <v>47.173684210526311</v>
      </c>
      <c r="K385" s="3">
        <f t="shared" si="41"/>
        <v>69</v>
      </c>
      <c r="L385" s="5">
        <f t="shared" si="42"/>
        <v>0</v>
      </c>
      <c r="M385" s="5">
        <f t="shared" si="43"/>
        <v>64.648983751705359</v>
      </c>
      <c r="N385" s="5">
        <f t="shared" si="44"/>
        <v>9.6964314321769756</v>
      </c>
      <c r="O385" s="5">
        <f t="shared" si="45"/>
        <v>9.6964314321769756</v>
      </c>
      <c r="P385" s="5">
        <f t="shared" si="46"/>
        <v>84.990103597235532</v>
      </c>
      <c r="Q385" s="5">
        <f t="shared" si="47"/>
        <v>14.99858291573098</v>
      </c>
    </row>
    <row r="386" spans="1:17" x14ac:dyDescent="0.2">
      <c r="A386" t="str">
        <f t="shared" si="40"/>
        <v>South Dakota_2015</v>
      </c>
      <c r="B386" t="s">
        <v>47</v>
      </c>
      <c r="C386">
        <v>2015</v>
      </c>
      <c r="D386" s="3">
        <v>657576</v>
      </c>
      <c r="E386" s="3">
        <v>555207.06900000002</v>
      </c>
      <c r="F386" s="3">
        <v>102343.15800000001</v>
      </c>
      <c r="G386" s="3">
        <v>82</v>
      </c>
      <c r="H386" s="3">
        <v>0</v>
      </c>
      <c r="I386" s="3">
        <v>62.93333333333333</v>
      </c>
      <c r="J386" s="3">
        <v>45.8</v>
      </c>
      <c r="K386" s="3">
        <f t="shared" si="41"/>
        <v>82</v>
      </c>
      <c r="L386" s="5">
        <f t="shared" si="42"/>
        <v>0</v>
      </c>
      <c r="M386" s="5">
        <f t="shared" si="43"/>
        <v>80.122600867954446</v>
      </c>
      <c r="N386" s="5">
        <f t="shared" si="44"/>
        <v>12.470041485698991</v>
      </c>
      <c r="O386" s="5">
        <f t="shared" si="45"/>
        <v>12.470041485698991</v>
      </c>
      <c r="P386" s="5">
        <f t="shared" si="46"/>
        <v>84.432380287601745</v>
      </c>
      <c r="Q386" s="5">
        <f t="shared" si="47"/>
        <v>15.563700317529838</v>
      </c>
    </row>
    <row r="387" spans="1:17" x14ac:dyDescent="0.2">
      <c r="A387" t="str">
        <f t="shared" ref="A387:A450" si="48">B387&amp;"_"&amp;C387</f>
        <v>South Dakota_2016</v>
      </c>
      <c r="B387" t="s">
        <v>47</v>
      </c>
      <c r="C387">
        <v>2016</v>
      </c>
      <c r="D387" s="3">
        <v>768118</v>
      </c>
      <c r="E387" s="3">
        <v>650984.90100000007</v>
      </c>
      <c r="F387" s="3">
        <v>117120.72</v>
      </c>
      <c r="G387" s="3">
        <v>70</v>
      </c>
      <c r="H387" s="3">
        <v>0</v>
      </c>
      <c r="I387" s="3">
        <v>55.855555555555554</v>
      </c>
      <c r="J387" s="3">
        <v>43.121052631578948</v>
      </c>
      <c r="K387" s="3">
        <f t="shared" ref="K387:K450" si="49">G387+H387</f>
        <v>70</v>
      </c>
      <c r="L387" s="5">
        <f t="shared" ref="L387:L450" si="50">IF(E387=0,"",H387/E387*100000)</f>
        <v>0</v>
      </c>
      <c r="M387" s="5">
        <f t="shared" ref="M387:M450" si="51">IF(F387=0,"",G387/F387*100000)</f>
        <v>59.767392140348861</v>
      </c>
      <c r="N387" s="5">
        <f t="shared" ref="N387:N450" si="52">IF(D387=0,"",K387/D387*100000)</f>
        <v>9.1131831307168962</v>
      </c>
      <c r="O387" s="5">
        <f t="shared" ref="O387:O450" si="53">N387</f>
        <v>9.1131831307168962</v>
      </c>
      <c r="P387" s="5">
        <f t="shared" ref="P387:P450" si="54">IF(D387=0,"",E387/D387*100)</f>
        <v>84.750637402065848</v>
      </c>
      <c r="Q387" s="5">
        <f t="shared" ref="Q387:Q450" si="55">IF(D387=0,"",F387/D387*100)</f>
        <v>15.24775099659167</v>
      </c>
    </row>
    <row r="388" spans="1:17" x14ac:dyDescent="0.2">
      <c r="A388" t="str">
        <f t="shared" si="48"/>
        <v>South Dakota_2017</v>
      </c>
      <c r="B388" t="s">
        <v>47</v>
      </c>
      <c r="C388">
        <v>2017</v>
      </c>
      <c r="D388" s="3">
        <v>892703</v>
      </c>
      <c r="E388" s="3">
        <v>751124</v>
      </c>
      <c r="F388" s="3">
        <v>141579</v>
      </c>
      <c r="G388" s="3">
        <v>55</v>
      </c>
      <c r="H388" s="3">
        <v>0</v>
      </c>
      <c r="I388" s="3">
        <v>39.854545454545459</v>
      </c>
      <c r="J388" s="3">
        <v>40.989473684210523</v>
      </c>
      <c r="K388" s="3">
        <f t="shared" si="49"/>
        <v>55</v>
      </c>
      <c r="L388" s="5">
        <f t="shared" si="50"/>
        <v>0</v>
      </c>
      <c r="M388" s="5">
        <f t="shared" si="51"/>
        <v>38.847569201647133</v>
      </c>
      <c r="N388" s="5">
        <f t="shared" si="52"/>
        <v>6.1610636460278494</v>
      </c>
      <c r="O388" s="5">
        <f t="shared" si="53"/>
        <v>6.1610636460278494</v>
      </c>
      <c r="P388" s="5">
        <f t="shared" si="54"/>
        <v>84.140414001073154</v>
      </c>
      <c r="Q388" s="5">
        <f t="shared" si="55"/>
        <v>15.859585998926853</v>
      </c>
    </row>
    <row r="389" spans="1:17" x14ac:dyDescent="0.2">
      <c r="A389" t="str">
        <f t="shared" si="48"/>
        <v>Tennessee_2009</v>
      </c>
      <c r="B389" t="s">
        <v>48</v>
      </c>
      <c r="C389">
        <v>2009</v>
      </c>
      <c r="D389" s="3">
        <v>6056214</v>
      </c>
      <c r="E389" s="3">
        <v>5273050.5480000004</v>
      </c>
      <c r="F389" s="3">
        <v>783543.45</v>
      </c>
      <c r="G389" s="3">
        <v>1087</v>
      </c>
      <c r="H389" s="3">
        <v>120</v>
      </c>
      <c r="I389" s="3">
        <v>47.657692307692315</v>
      </c>
      <c r="J389" s="3">
        <v>35.682142857142857</v>
      </c>
      <c r="K389" s="3">
        <f t="shared" si="49"/>
        <v>1207</v>
      </c>
      <c r="L389" s="5">
        <f t="shared" si="50"/>
        <v>2.275722542533078</v>
      </c>
      <c r="M389" s="5">
        <f t="shared" si="51"/>
        <v>138.72874567453789</v>
      </c>
      <c r="N389" s="5">
        <f t="shared" si="52"/>
        <v>19.929943030414712</v>
      </c>
      <c r="O389" s="5">
        <f t="shared" si="53"/>
        <v>19.929943030414712</v>
      </c>
      <c r="P389" s="5">
        <f t="shared" si="54"/>
        <v>87.068431663742402</v>
      </c>
      <c r="Q389" s="5">
        <f t="shared" si="55"/>
        <v>12.93784285033521</v>
      </c>
    </row>
    <row r="390" spans="1:17" x14ac:dyDescent="0.2">
      <c r="A390" t="str">
        <f t="shared" si="48"/>
        <v>Tennessee_2010</v>
      </c>
      <c r="B390" t="s">
        <v>48</v>
      </c>
      <c r="C390">
        <v>2010</v>
      </c>
      <c r="D390" s="3">
        <v>6268463</v>
      </c>
      <c r="E390" s="3">
        <v>5448611.7669999991</v>
      </c>
      <c r="F390" s="3">
        <v>820093.98399999994</v>
      </c>
      <c r="G390" s="3">
        <v>1117</v>
      </c>
      <c r="H390" s="3">
        <v>110</v>
      </c>
      <c r="I390" s="3">
        <v>61.86666666666666</v>
      </c>
      <c r="J390" s="3">
        <v>33.714999999999996</v>
      </c>
      <c r="K390" s="3">
        <f t="shared" si="49"/>
        <v>1227</v>
      </c>
      <c r="L390" s="5">
        <f t="shared" si="50"/>
        <v>2.0188628719378534</v>
      </c>
      <c r="M390" s="5">
        <f t="shared" si="51"/>
        <v>136.20390123481263</v>
      </c>
      <c r="N390" s="5">
        <f t="shared" si="52"/>
        <v>19.574176317224811</v>
      </c>
      <c r="O390" s="5">
        <f t="shared" si="53"/>
        <v>19.574176317224811</v>
      </c>
      <c r="P390" s="5">
        <f t="shared" si="54"/>
        <v>86.921016635178333</v>
      </c>
      <c r="Q390" s="5">
        <f t="shared" si="55"/>
        <v>13.082855940922039</v>
      </c>
    </row>
    <row r="391" spans="1:17" x14ac:dyDescent="0.2">
      <c r="A391" t="str">
        <f t="shared" si="48"/>
        <v>Tennessee_2011</v>
      </c>
      <c r="B391" t="s">
        <v>48</v>
      </c>
      <c r="C391">
        <v>2011</v>
      </c>
      <c r="D391" s="3">
        <v>6341858</v>
      </c>
      <c r="E391" s="3">
        <v>5499893.1049999995</v>
      </c>
      <c r="F391" s="3">
        <v>841051.15799999982</v>
      </c>
      <c r="G391" s="3">
        <v>1192</v>
      </c>
      <c r="H391" s="3">
        <v>114</v>
      </c>
      <c r="I391" s="3">
        <v>63.300000000000004</v>
      </c>
      <c r="J391" s="3">
        <v>36.766666666666666</v>
      </c>
      <c r="K391" s="3">
        <f t="shared" si="49"/>
        <v>1306</v>
      </c>
      <c r="L391" s="5">
        <f t="shared" si="50"/>
        <v>2.072767557906928</v>
      </c>
      <c r="M391" s="5">
        <f t="shared" si="51"/>
        <v>141.72740726432724</v>
      </c>
      <c r="N391" s="5">
        <f t="shared" si="52"/>
        <v>20.593334004009549</v>
      </c>
      <c r="O391" s="5">
        <f t="shared" si="53"/>
        <v>20.593334004009549</v>
      </c>
      <c r="P391" s="5">
        <f t="shared" si="54"/>
        <v>86.723687364176229</v>
      </c>
      <c r="Q391" s="5">
        <f t="shared" si="55"/>
        <v>13.261904602720525</v>
      </c>
    </row>
    <row r="392" spans="1:17" x14ac:dyDescent="0.2">
      <c r="A392" t="str">
        <f t="shared" si="48"/>
        <v>Tennessee_2012</v>
      </c>
      <c r="B392" t="s">
        <v>48</v>
      </c>
      <c r="C392">
        <v>2012</v>
      </c>
      <c r="D392" s="3">
        <v>6331873</v>
      </c>
      <c r="E392" s="3">
        <v>5478639.1390000004</v>
      </c>
      <c r="F392" s="3">
        <v>855101.16800000006</v>
      </c>
      <c r="G392" s="3">
        <v>1196</v>
      </c>
      <c r="H392" s="3">
        <v>83</v>
      </c>
      <c r="I392" s="3">
        <v>64.911111111111097</v>
      </c>
      <c r="J392" s="3">
        <v>36.839999999999996</v>
      </c>
      <c r="K392" s="3">
        <f t="shared" si="49"/>
        <v>1279</v>
      </c>
      <c r="L392" s="5">
        <f t="shared" si="50"/>
        <v>1.5149747573108043</v>
      </c>
      <c r="M392" s="5">
        <f t="shared" si="51"/>
        <v>139.86649121265145</v>
      </c>
      <c r="N392" s="5">
        <f t="shared" si="52"/>
        <v>20.199394397202852</v>
      </c>
      <c r="O392" s="5">
        <f t="shared" si="53"/>
        <v>20.199394397202852</v>
      </c>
      <c r="P392" s="5">
        <f t="shared" si="54"/>
        <v>86.524779303059304</v>
      </c>
      <c r="Q392" s="5">
        <f t="shared" si="55"/>
        <v>13.504711291587816</v>
      </c>
    </row>
    <row r="393" spans="1:17" x14ac:dyDescent="0.2">
      <c r="A393" t="str">
        <f t="shared" si="48"/>
        <v>Tennessee_2013</v>
      </c>
      <c r="B393" t="s">
        <v>48</v>
      </c>
      <c r="C393">
        <v>2013</v>
      </c>
      <c r="D393" s="3">
        <v>6184829</v>
      </c>
      <c r="E393" s="3">
        <v>5333662.0299999993</v>
      </c>
      <c r="F393" s="3">
        <v>851371.10899999994</v>
      </c>
      <c r="G393" s="3">
        <v>1255</v>
      </c>
      <c r="H393" s="3">
        <v>180</v>
      </c>
      <c r="I393" s="3">
        <v>61.444444444444429</v>
      </c>
      <c r="J393" s="3">
        <v>38.049999999999997</v>
      </c>
      <c r="K393" s="3">
        <f t="shared" si="49"/>
        <v>1435</v>
      </c>
      <c r="L393" s="5">
        <f t="shared" si="50"/>
        <v>3.3747920094592123</v>
      </c>
      <c r="M393" s="5">
        <f t="shared" si="51"/>
        <v>147.40927742710142</v>
      </c>
      <c r="N393" s="5">
        <f t="shared" si="52"/>
        <v>23.201934928192841</v>
      </c>
      <c r="O393" s="5">
        <f t="shared" si="53"/>
        <v>23.201934928192841</v>
      </c>
      <c r="P393" s="5">
        <f t="shared" si="54"/>
        <v>86.23782533033652</v>
      </c>
      <c r="Q393" s="5">
        <f t="shared" si="55"/>
        <v>13.765475310635104</v>
      </c>
    </row>
    <row r="394" spans="1:17" x14ac:dyDescent="0.2">
      <c r="A394" t="str">
        <f t="shared" si="48"/>
        <v>Tennessee_2014</v>
      </c>
      <c r="B394" t="s">
        <v>48</v>
      </c>
      <c r="C394">
        <v>2014</v>
      </c>
      <c r="D394" s="3">
        <v>6516834</v>
      </c>
      <c r="E394" s="3">
        <v>5573486.1719999975</v>
      </c>
      <c r="F394" s="3">
        <v>941353.09600000014</v>
      </c>
      <c r="G394" s="3">
        <v>1248</v>
      </c>
      <c r="H394" s="3">
        <v>237</v>
      </c>
      <c r="I394" s="3">
        <v>51.089999999999996</v>
      </c>
      <c r="J394" s="3">
        <v>37.700000000000003</v>
      </c>
      <c r="K394" s="3">
        <f t="shared" si="49"/>
        <v>1485</v>
      </c>
      <c r="L394" s="5">
        <f t="shared" si="50"/>
        <v>4.252275733465301</v>
      </c>
      <c r="M394" s="5">
        <f t="shared" si="51"/>
        <v>132.57512035632587</v>
      </c>
      <c r="N394" s="5">
        <f t="shared" si="52"/>
        <v>22.787138662731014</v>
      </c>
      <c r="O394" s="5">
        <f t="shared" si="53"/>
        <v>22.787138662731014</v>
      </c>
      <c r="P394" s="5">
        <f t="shared" si="54"/>
        <v>85.524445950288097</v>
      </c>
      <c r="Q394" s="5">
        <f t="shared" si="55"/>
        <v>14.44494513747013</v>
      </c>
    </row>
    <row r="395" spans="1:17" x14ac:dyDescent="0.2">
      <c r="A395" t="str">
        <f t="shared" si="48"/>
        <v>Tennessee_2015</v>
      </c>
      <c r="B395" t="s">
        <v>48</v>
      </c>
      <c r="C395">
        <v>2015</v>
      </c>
      <c r="D395" s="3">
        <v>6469040</v>
      </c>
      <c r="E395" s="3">
        <v>5523778.5659999987</v>
      </c>
      <c r="F395" s="3">
        <v>943368.57899999991</v>
      </c>
      <c r="G395" s="3">
        <v>1438</v>
      </c>
      <c r="H395" s="3">
        <v>112</v>
      </c>
      <c r="I395" s="3">
        <v>50.777777777777786</v>
      </c>
      <c r="J395" s="3">
        <v>35.247619047619047</v>
      </c>
      <c r="K395" s="3">
        <f t="shared" si="49"/>
        <v>1550</v>
      </c>
      <c r="L395" s="5">
        <f t="shared" si="50"/>
        <v>2.0275975704273015</v>
      </c>
      <c r="M395" s="5">
        <f t="shared" si="51"/>
        <v>152.43246722551694</v>
      </c>
      <c r="N395" s="5">
        <f t="shared" si="52"/>
        <v>23.960278495727341</v>
      </c>
      <c r="O395" s="5">
        <f t="shared" si="53"/>
        <v>23.960278495727341</v>
      </c>
      <c r="P395" s="5">
        <f t="shared" si="54"/>
        <v>85.387917929089923</v>
      </c>
      <c r="Q395" s="5">
        <f t="shared" si="55"/>
        <v>14.582821856102296</v>
      </c>
    </row>
    <row r="396" spans="1:17" x14ac:dyDescent="0.2">
      <c r="A396" t="str">
        <f t="shared" si="48"/>
        <v>Tennessee_2016</v>
      </c>
      <c r="B396" t="s">
        <v>48</v>
      </c>
      <c r="C396">
        <v>2016</v>
      </c>
      <c r="D396" s="3">
        <v>6350236</v>
      </c>
      <c r="E396" s="3">
        <v>5401991.0219999989</v>
      </c>
      <c r="F396" s="3">
        <v>948740.46299999964</v>
      </c>
      <c r="G396" s="3">
        <v>1212</v>
      </c>
      <c r="H396" s="3">
        <v>215</v>
      </c>
      <c r="I396" s="3">
        <v>49.022222222222219</v>
      </c>
      <c r="J396" s="3">
        <v>32.547619047619051</v>
      </c>
      <c r="K396" s="3">
        <f t="shared" si="49"/>
        <v>1427</v>
      </c>
      <c r="L396" s="5">
        <f t="shared" si="50"/>
        <v>3.9800140193568807</v>
      </c>
      <c r="M396" s="5">
        <f t="shared" si="51"/>
        <v>127.74831972144952</v>
      </c>
      <c r="N396" s="5">
        <f t="shared" si="52"/>
        <v>22.471605779690705</v>
      </c>
      <c r="O396" s="5">
        <f t="shared" si="53"/>
        <v>22.471605779690705</v>
      </c>
      <c r="P396" s="5">
        <f t="shared" si="54"/>
        <v>85.067563189777502</v>
      </c>
      <c r="Q396" s="5">
        <f t="shared" si="55"/>
        <v>14.940239433621045</v>
      </c>
    </row>
    <row r="397" spans="1:17" x14ac:dyDescent="0.2">
      <c r="A397" t="str">
        <f t="shared" si="48"/>
        <v>Tennessee_2017</v>
      </c>
      <c r="B397" t="s">
        <v>48</v>
      </c>
      <c r="C397">
        <v>2017</v>
      </c>
      <c r="D397" s="3">
        <v>6889819</v>
      </c>
      <c r="E397" s="3">
        <v>5830419</v>
      </c>
      <c r="F397" s="3">
        <v>1059400</v>
      </c>
      <c r="G397" s="3">
        <v>1321</v>
      </c>
      <c r="H397" s="3">
        <v>205</v>
      </c>
      <c r="I397" s="3">
        <v>36.470000000000006</v>
      </c>
      <c r="J397" s="3">
        <v>28.90909090909091</v>
      </c>
      <c r="K397" s="3">
        <f t="shared" si="49"/>
        <v>1526</v>
      </c>
      <c r="L397" s="5">
        <f t="shared" si="50"/>
        <v>3.5160423290332989</v>
      </c>
      <c r="M397" s="5">
        <f t="shared" si="51"/>
        <v>124.69322257881821</v>
      </c>
      <c r="N397" s="5">
        <f t="shared" si="52"/>
        <v>22.148622481954895</v>
      </c>
      <c r="O397" s="5">
        <f t="shared" si="53"/>
        <v>22.148622481954895</v>
      </c>
      <c r="P397" s="5">
        <f t="shared" si="54"/>
        <v>84.623688953222143</v>
      </c>
      <c r="Q397" s="5">
        <f t="shared" si="55"/>
        <v>15.376311046777863</v>
      </c>
    </row>
    <row r="398" spans="1:17" x14ac:dyDescent="0.2">
      <c r="A398" t="str">
        <f t="shared" si="48"/>
        <v>Texas_2009</v>
      </c>
      <c r="B398" t="s">
        <v>49</v>
      </c>
      <c r="C398">
        <v>2009</v>
      </c>
      <c r="D398" s="3">
        <v>23721521</v>
      </c>
      <c r="E398" s="3">
        <v>21345772.894000012</v>
      </c>
      <c r="F398" s="3">
        <v>2387470.173</v>
      </c>
      <c r="G398" s="3">
        <v>2512</v>
      </c>
      <c r="H398" s="3">
        <v>656</v>
      </c>
      <c r="I398" s="3">
        <v>46.007142857142853</v>
      </c>
      <c r="J398" s="3">
        <v>33.464285714285708</v>
      </c>
      <c r="K398" s="3">
        <f t="shared" si="49"/>
        <v>3168</v>
      </c>
      <c r="L398" s="5">
        <f t="shared" si="50"/>
        <v>3.073207998874532</v>
      </c>
      <c r="M398" s="5">
        <f t="shared" si="51"/>
        <v>105.2159741473763</v>
      </c>
      <c r="N398" s="5">
        <f t="shared" si="52"/>
        <v>13.354961513639871</v>
      </c>
      <c r="O398" s="5">
        <f t="shared" si="53"/>
        <v>13.354961513639871</v>
      </c>
      <c r="P398" s="5">
        <f t="shared" si="54"/>
        <v>89.984840744402575</v>
      </c>
      <c r="Q398" s="5">
        <f t="shared" si="55"/>
        <v>10.064574581874409</v>
      </c>
    </row>
    <row r="399" spans="1:17" x14ac:dyDescent="0.2">
      <c r="A399" t="str">
        <f t="shared" si="48"/>
        <v>Texas_2010</v>
      </c>
      <c r="B399" t="s">
        <v>49</v>
      </c>
      <c r="C399">
        <v>2010</v>
      </c>
      <c r="D399" s="3">
        <v>24172190</v>
      </c>
      <c r="E399" s="3">
        <v>21722938.110000003</v>
      </c>
      <c r="F399" s="3">
        <v>2452203.9920000001</v>
      </c>
      <c r="G399" s="3">
        <v>2435</v>
      </c>
      <c r="H399" s="3">
        <v>419</v>
      </c>
      <c r="I399" s="3">
        <v>51.33</v>
      </c>
      <c r="J399" s="3">
        <v>30.504999999999995</v>
      </c>
      <c r="K399" s="3">
        <f t="shared" si="49"/>
        <v>2854</v>
      </c>
      <c r="L399" s="5">
        <f t="shared" si="50"/>
        <v>1.9288366881048944</v>
      </c>
      <c r="M399" s="5">
        <f t="shared" si="51"/>
        <v>99.298427371616469</v>
      </c>
      <c r="N399" s="5">
        <f t="shared" si="52"/>
        <v>11.80695667210956</v>
      </c>
      <c r="O399" s="5">
        <f t="shared" si="53"/>
        <v>11.80695667210956</v>
      </c>
      <c r="P399" s="5">
        <f t="shared" si="54"/>
        <v>89.867480397928375</v>
      </c>
      <c r="Q399" s="5">
        <f t="shared" si="55"/>
        <v>10.144732405297162</v>
      </c>
    </row>
    <row r="400" spans="1:17" x14ac:dyDescent="0.2">
      <c r="A400" t="str">
        <f t="shared" si="48"/>
        <v>Texas_2011</v>
      </c>
      <c r="B400" t="s">
        <v>49</v>
      </c>
      <c r="C400">
        <v>2011</v>
      </c>
      <c r="D400" s="3">
        <v>24819768</v>
      </c>
      <c r="E400" s="3">
        <v>22261168.467</v>
      </c>
      <c r="F400" s="3">
        <v>2553924.5539999995</v>
      </c>
      <c r="G400" s="3">
        <v>2473</v>
      </c>
      <c r="H400" s="3">
        <v>395</v>
      </c>
      <c r="I400" s="3">
        <v>49.62</v>
      </c>
      <c r="J400" s="3">
        <v>31.835000000000001</v>
      </c>
      <c r="K400" s="3">
        <f t="shared" si="49"/>
        <v>2868</v>
      </c>
      <c r="L400" s="5">
        <f t="shared" si="50"/>
        <v>1.7743902373568072</v>
      </c>
      <c r="M400" s="5">
        <f t="shared" si="51"/>
        <v>96.831364737331256</v>
      </c>
      <c r="N400" s="5">
        <f t="shared" si="52"/>
        <v>11.555305432347312</v>
      </c>
      <c r="O400" s="5">
        <f t="shared" si="53"/>
        <v>11.555305432347312</v>
      </c>
      <c r="P400" s="5">
        <f t="shared" si="54"/>
        <v>89.691283443906485</v>
      </c>
      <c r="Q400" s="5">
        <f t="shared" si="55"/>
        <v>10.289880848201319</v>
      </c>
    </row>
    <row r="401" spans="1:17" x14ac:dyDescent="0.2">
      <c r="A401" t="str">
        <f t="shared" si="48"/>
        <v>Texas_2012</v>
      </c>
      <c r="B401" t="s">
        <v>49</v>
      </c>
      <c r="C401">
        <v>2012</v>
      </c>
      <c r="D401" s="3">
        <v>25037667</v>
      </c>
      <c r="E401" s="3">
        <v>22418314.24399998</v>
      </c>
      <c r="F401" s="3">
        <v>2621859.8340000017</v>
      </c>
      <c r="G401" s="3">
        <v>2435</v>
      </c>
      <c r="H401" s="3">
        <v>380</v>
      </c>
      <c r="I401" s="3">
        <v>50.779999999999994</v>
      </c>
      <c r="J401" s="3">
        <v>31.228571428571428</v>
      </c>
      <c r="K401" s="3">
        <f t="shared" si="49"/>
        <v>2815</v>
      </c>
      <c r="L401" s="5">
        <f t="shared" si="50"/>
        <v>1.695042704210924</v>
      </c>
      <c r="M401" s="5">
        <f t="shared" si="51"/>
        <v>92.873004438421034</v>
      </c>
      <c r="N401" s="5">
        <f t="shared" si="52"/>
        <v>11.243060305898309</v>
      </c>
      <c r="O401" s="5">
        <f t="shared" si="53"/>
        <v>11.243060305898309</v>
      </c>
      <c r="P401" s="5">
        <f t="shared" si="54"/>
        <v>89.538351332813789</v>
      </c>
      <c r="Q401" s="5">
        <f t="shared" si="55"/>
        <v>10.471661892459876</v>
      </c>
    </row>
    <row r="402" spans="1:17" x14ac:dyDescent="0.2">
      <c r="A402" t="str">
        <f t="shared" si="48"/>
        <v>Texas_2013</v>
      </c>
      <c r="B402" t="s">
        <v>49</v>
      </c>
      <c r="C402">
        <v>2013</v>
      </c>
      <c r="D402" s="3">
        <v>25684305</v>
      </c>
      <c r="E402" s="3">
        <v>22931124.395999983</v>
      </c>
      <c r="F402" s="3">
        <v>2749728.7420000015</v>
      </c>
      <c r="G402" s="3">
        <v>2608</v>
      </c>
      <c r="H402" s="3">
        <v>587</v>
      </c>
      <c r="I402" s="3">
        <v>48.069999999999993</v>
      </c>
      <c r="J402" s="3">
        <v>34.480952380952381</v>
      </c>
      <c r="K402" s="3">
        <f t="shared" si="49"/>
        <v>3195</v>
      </c>
      <c r="L402" s="5">
        <f t="shared" si="50"/>
        <v>2.5598395868559938</v>
      </c>
      <c r="M402" s="5">
        <f t="shared" si="51"/>
        <v>94.845719149121749</v>
      </c>
      <c r="N402" s="5">
        <f t="shared" si="52"/>
        <v>12.439503424367526</v>
      </c>
      <c r="O402" s="5">
        <f t="shared" si="53"/>
        <v>12.439503424367526</v>
      </c>
      <c r="P402" s="5">
        <f t="shared" si="54"/>
        <v>89.280688716319105</v>
      </c>
      <c r="Q402" s="5">
        <f t="shared" si="55"/>
        <v>10.705871706476003</v>
      </c>
    </row>
    <row r="403" spans="1:17" x14ac:dyDescent="0.2">
      <c r="A403" t="str">
        <f t="shared" si="48"/>
        <v>Texas_2014</v>
      </c>
      <c r="B403" t="s">
        <v>49</v>
      </c>
      <c r="C403">
        <v>2014</v>
      </c>
      <c r="D403" s="3">
        <v>26011866</v>
      </c>
      <c r="E403" s="3">
        <v>23179467.250000004</v>
      </c>
      <c r="F403" s="3">
        <v>2839398.5290000015</v>
      </c>
      <c r="G403" s="3">
        <v>2552</v>
      </c>
      <c r="H403" s="3">
        <v>759</v>
      </c>
      <c r="I403" s="3">
        <v>54.2</v>
      </c>
      <c r="J403" s="3">
        <v>37.338095238095235</v>
      </c>
      <c r="K403" s="3">
        <f t="shared" si="49"/>
        <v>3311</v>
      </c>
      <c r="L403" s="5">
        <f t="shared" si="50"/>
        <v>3.2744497179934102</v>
      </c>
      <c r="M403" s="5">
        <f t="shared" si="51"/>
        <v>89.878189832646726</v>
      </c>
      <c r="N403" s="5">
        <f t="shared" si="52"/>
        <v>12.7288061533148</v>
      </c>
      <c r="O403" s="5">
        <f t="shared" si="53"/>
        <v>12.7288061533148</v>
      </c>
      <c r="P403" s="5">
        <f t="shared" si="54"/>
        <v>89.111128167429442</v>
      </c>
      <c r="Q403" s="5">
        <f t="shared" si="55"/>
        <v>10.915781778208459</v>
      </c>
    </row>
    <row r="404" spans="1:17" x14ac:dyDescent="0.2">
      <c r="A404" t="str">
        <f t="shared" si="48"/>
        <v>Texas_2015</v>
      </c>
      <c r="B404" t="s">
        <v>49</v>
      </c>
      <c r="C404">
        <v>2015</v>
      </c>
      <c r="D404" s="3">
        <v>26071613</v>
      </c>
      <c r="E404" s="3">
        <v>23152747.534999978</v>
      </c>
      <c r="F404" s="3">
        <v>2910457.7869999986</v>
      </c>
      <c r="G404" s="3">
        <v>2575</v>
      </c>
      <c r="H404" s="3">
        <v>495</v>
      </c>
      <c r="I404" s="3">
        <v>47.749999999999993</v>
      </c>
      <c r="J404" s="3">
        <v>37.08</v>
      </c>
      <c r="K404" s="3">
        <f t="shared" si="49"/>
        <v>3070</v>
      </c>
      <c r="L404" s="5">
        <f t="shared" si="50"/>
        <v>2.1379751981993027</v>
      </c>
      <c r="M404" s="5">
        <f t="shared" si="51"/>
        <v>88.474054202113095</v>
      </c>
      <c r="N404" s="5">
        <f t="shared" si="52"/>
        <v>11.775259167892681</v>
      </c>
      <c r="O404" s="5">
        <f t="shared" si="53"/>
        <v>11.775259167892681</v>
      </c>
      <c r="P404" s="5">
        <f t="shared" si="54"/>
        <v>88.804430838245324</v>
      </c>
      <c r="Q404" s="5">
        <f t="shared" si="55"/>
        <v>11.163320761933674</v>
      </c>
    </row>
    <row r="405" spans="1:17" x14ac:dyDescent="0.2">
      <c r="A405" t="str">
        <f t="shared" si="48"/>
        <v>Texas_2016</v>
      </c>
      <c r="B405" t="s">
        <v>49</v>
      </c>
      <c r="C405">
        <v>2016</v>
      </c>
      <c r="D405" s="3">
        <v>26545899</v>
      </c>
      <c r="E405" s="3">
        <v>23495362.302999981</v>
      </c>
      <c r="F405" s="3">
        <v>3049051.0619999995</v>
      </c>
      <c r="G405" s="3">
        <v>2260</v>
      </c>
      <c r="H405" s="3">
        <v>434</v>
      </c>
      <c r="I405" s="3">
        <v>47.000000000000014</v>
      </c>
      <c r="J405" s="3">
        <v>32.647619047619045</v>
      </c>
      <c r="K405" s="3">
        <f t="shared" si="49"/>
        <v>2694</v>
      </c>
      <c r="L405" s="5">
        <f t="shared" si="50"/>
        <v>1.8471730480384425</v>
      </c>
      <c r="M405" s="5">
        <f t="shared" si="51"/>
        <v>74.121421847149122</v>
      </c>
      <c r="N405" s="5">
        <f t="shared" si="52"/>
        <v>10.148460219787623</v>
      </c>
      <c r="O405" s="5">
        <f t="shared" si="53"/>
        <v>10.148460219787623</v>
      </c>
      <c r="P405" s="5">
        <f t="shared" si="54"/>
        <v>88.508444573679654</v>
      </c>
      <c r="Q405" s="5">
        <f t="shared" si="55"/>
        <v>11.485958949817444</v>
      </c>
    </row>
    <row r="406" spans="1:17" x14ac:dyDescent="0.2">
      <c r="A406" t="str">
        <f t="shared" si="48"/>
        <v>Texas_2017</v>
      </c>
      <c r="B406" t="s">
        <v>49</v>
      </c>
      <c r="C406">
        <v>2017</v>
      </c>
      <c r="D406" s="3">
        <v>27167870</v>
      </c>
      <c r="E406" s="3">
        <v>23960848</v>
      </c>
      <c r="F406" s="3">
        <v>3207022</v>
      </c>
      <c r="G406" s="3">
        <v>2290</v>
      </c>
      <c r="H406" s="3">
        <v>494</v>
      </c>
      <c r="I406" s="3">
        <v>38.64</v>
      </c>
      <c r="J406" s="3">
        <v>30.104761904761911</v>
      </c>
      <c r="K406" s="3">
        <f t="shared" si="49"/>
        <v>2784</v>
      </c>
      <c r="L406" s="5">
        <f t="shared" si="50"/>
        <v>2.061696647798108</v>
      </c>
      <c r="M406" s="5">
        <f t="shared" si="51"/>
        <v>71.405808878143034</v>
      </c>
      <c r="N406" s="5">
        <f t="shared" si="52"/>
        <v>10.247398857547537</v>
      </c>
      <c r="O406" s="5">
        <f t="shared" si="53"/>
        <v>10.247398857547537</v>
      </c>
      <c r="P406" s="5">
        <f t="shared" si="54"/>
        <v>88.195533915614291</v>
      </c>
      <c r="Q406" s="5">
        <f t="shared" si="55"/>
        <v>11.804466084385711</v>
      </c>
    </row>
    <row r="407" spans="1:17" x14ac:dyDescent="0.2">
      <c r="A407" t="str">
        <f t="shared" si="48"/>
        <v>Utah_2009</v>
      </c>
      <c r="B407" t="s">
        <v>50</v>
      </c>
      <c r="C407">
        <v>2009</v>
      </c>
      <c r="D407" s="3">
        <v>2632280</v>
      </c>
      <c r="E407" s="3">
        <v>2402324.6939999997</v>
      </c>
      <c r="F407" s="3">
        <v>231879.217</v>
      </c>
      <c r="G407" s="3">
        <v>120</v>
      </c>
      <c r="H407" s="3">
        <v>0</v>
      </c>
      <c r="I407" s="3">
        <v>46.096428571428568</v>
      </c>
      <c r="J407" s="3">
        <v>33.692857142857143</v>
      </c>
      <c r="K407" s="3">
        <f t="shared" si="49"/>
        <v>120</v>
      </c>
      <c r="L407" s="5">
        <f t="shared" si="50"/>
        <v>0</v>
      </c>
      <c r="M407" s="5">
        <f t="shared" si="51"/>
        <v>51.751080391133115</v>
      </c>
      <c r="N407" s="5">
        <f t="shared" si="52"/>
        <v>4.5587855395322689</v>
      </c>
      <c r="O407" s="5">
        <f t="shared" si="53"/>
        <v>4.5587855395322689</v>
      </c>
      <c r="P407" s="5">
        <f t="shared" si="54"/>
        <v>91.264025635570661</v>
      </c>
      <c r="Q407" s="5">
        <f t="shared" si="55"/>
        <v>8.8090635114805416</v>
      </c>
    </row>
    <row r="408" spans="1:17" x14ac:dyDescent="0.2">
      <c r="A408" t="str">
        <f t="shared" si="48"/>
        <v>Utah_2010</v>
      </c>
      <c r="B408" t="s">
        <v>50</v>
      </c>
      <c r="C408">
        <v>2010</v>
      </c>
      <c r="D408" s="3">
        <v>2665430</v>
      </c>
      <c r="E408" s="3">
        <v>2429353.3480000007</v>
      </c>
      <c r="F408" s="3">
        <v>236647.35200000001</v>
      </c>
      <c r="G408" s="3">
        <v>173</v>
      </c>
      <c r="H408" s="3">
        <v>0</v>
      </c>
      <c r="I408" s="3">
        <v>46.690000000000005</v>
      </c>
      <c r="J408" s="3">
        <v>35.268421052631588</v>
      </c>
      <c r="K408" s="3">
        <f t="shared" si="49"/>
        <v>173</v>
      </c>
      <c r="L408" s="5">
        <f t="shared" si="50"/>
        <v>0</v>
      </c>
      <c r="M408" s="5">
        <f t="shared" si="51"/>
        <v>73.104557704917809</v>
      </c>
      <c r="N408" s="5">
        <f t="shared" si="52"/>
        <v>6.4905099740004424</v>
      </c>
      <c r="O408" s="5">
        <f t="shared" si="53"/>
        <v>6.4905099740004424</v>
      </c>
      <c r="P408" s="5">
        <f t="shared" si="54"/>
        <v>91.143018124655342</v>
      </c>
      <c r="Q408" s="5">
        <f t="shared" si="55"/>
        <v>8.8783930547791545</v>
      </c>
    </row>
    <row r="409" spans="1:17" x14ac:dyDescent="0.2">
      <c r="A409" t="str">
        <f t="shared" si="48"/>
        <v>Utah_2011</v>
      </c>
      <c r="B409" t="s">
        <v>50</v>
      </c>
      <c r="C409">
        <v>2011</v>
      </c>
      <c r="D409" s="3">
        <v>2672834</v>
      </c>
      <c r="E409" s="3">
        <v>2431211.0449999999</v>
      </c>
      <c r="F409" s="3">
        <v>243691.68300000002</v>
      </c>
      <c r="G409" s="3">
        <v>176</v>
      </c>
      <c r="H409" s="3">
        <v>0</v>
      </c>
      <c r="I409" s="3">
        <v>48.89</v>
      </c>
      <c r="J409" s="3">
        <v>34.889473684210522</v>
      </c>
      <c r="K409" s="3">
        <f t="shared" si="49"/>
        <v>176</v>
      </c>
      <c r="L409" s="5">
        <f t="shared" si="50"/>
        <v>0</v>
      </c>
      <c r="M409" s="5">
        <f t="shared" si="51"/>
        <v>72.222407360533509</v>
      </c>
      <c r="N409" s="5">
        <f t="shared" si="52"/>
        <v>6.5847710707062248</v>
      </c>
      <c r="O409" s="5">
        <f t="shared" si="53"/>
        <v>6.5847710707062248</v>
      </c>
      <c r="P409" s="5">
        <f t="shared" si="54"/>
        <v>90.9600463403264</v>
      </c>
      <c r="Q409" s="5">
        <f t="shared" si="55"/>
        <v>9.1173519567619987</v>
      </c>
    </row>
    <row r="410" spans="1:17" x14ac:dyDescent="0.2">
      <c r="A410" t="str">
        <f t="shared" si="48"/>
        <v>Utah_2012</v>
      </c>
      <c r="B410" t="s">
        <v>50</v>
      </c>
      <c r="C410">
        <v>2012</v>
      </c>
      <c r="D410" s="3">
        <v>2773327</v>
      </c>
      <c r="E410" s="3">
        <v>2518152.1580000003</v>
      </c>
      <c r="F410" s="3">
        <v>253161.97800000003</v>
      </c>
      <c r="G410" s="3">
        <v>157</v>
      </c>
      <c r="H410" s="3">
        <v>0</v>
      </c>
      <c r="I410" s="3">
        <v>49.488888888888887</v>
      </c>
      <c r="J410" s="3">
        <v>32.22</v>
      </c>
      <c r="K410" s="3">
        <f t="shared" si="49"/>
        <v>157</v>
      </c>
      <c r="L410" s="5">
        <f t="shared" si="50"/>
        <v>0</v>
      </c>
      <c r="M410" s="5">
        <f t="shared" si="51"/>
        <v>62.015631747039031</v>
      </c>
      <c r="N410" s="5">
        <f t="shared" si="52"/>
        <v>5.6610706202333878</v>
      </c>
      <c r="O410" s="5">
        <f t="shared" si="53"/>
        <v>5.6610706202333878</v>
      </c>
      <c r="P410" s="5">
        <f t="shared" si="54"/>
        <v>90.798963050516591</v>
      </c>
      <c r="Q410" s="5">
        <f t="shared" si="55"/>
        <v>9.128457552967971</v>
      </c>
    </row>
    <row r="411" spans="1:17" x14ac:dyDescent="0.2">
      <c r="A411" t="str">
        <f t="shared" si="48"/>
        <v>Utah_2013</v>
      </c>
      <c r="B411" t="s">
        <v>50</v>
      </c>
      <c r="C411">
        <v>2013</v>
      </c>
      <c r="D411" s="3">
        <v>2938531</v>
      </c>
      <c r="E411" s="3">
        <v>2651498.8480000002</v>
      </c>
      <c r="F411" s="3">
        <v>287139.06200000003</v>
      </c>
      <c r="G411" s="3">
        <v>230</v>
      </c>
      <c r="H411" s="3">
        <v>0</v>
      </c>
      <c r="I411" s="3">
        <v>46.21</v>
      </c>
      <c r="J411" s="3">
        <v>30.095238095238091</v>
      </c>
      <c r="K411" s="3">
        <f t="shared" si="49"/>
        <v>230</v>
      </c>
      <c r="L411" s="5">
        <f t="shared" si="50"/>
        <v>0</v>
      </c>
      <c r="M411" s="5">
        <f t="shared" si="51"/>
        <v>80.100561169904481</v>
      </c>
      <c r="N411" s="5">
        <f t="shared" si="52"/>
        <v>7.8270401094968882</v>
      </c>
      <c r="O411" s="5">
        <f t="shared" si="53"/>
        <v>7.8270401094968882</v>
      </c>
      <c r="P411" s="5">
        <f t="shared" si="54"/>
        <v>90.232121015568666</v>
      </c>
      <c r="Q411" s="5">
        <f t="shared" si="55"/>
        <v>9.7715171968578876</v>
      </c>
    </row>
    <row r="412" spans="1:17" x14ac:dyDescent="0.2">
      <c r="A412" t="str">
        <f t="shared" si="48"/>
        <v>Utah_2014</v>
      </c>
      <c r="B412" t="s">
        <v>50</v>
      </c>
      <c r="C412">
        <v>2014</v>
      </c>
      <c r="D412" s="3">
        <v>2835421</v>
      </c>
      <c r="E412" s="3">
        <v>2557761.085</v>
      </c>
      <c r="F412" s="3">
        <v>275476.27699999994</v>
      </c>
      <c r="G412" s="3">
        <v>186</v>
      </c>
      <c r="H412" s="3">
        <v>0</v>
      </c>
      <c r="I412" s="3">
        <v>49.722222222222214</v>
      </c>
      <c r="J412" s="3">
        <v>37.836842105263166</v>
      </c>
      <c r="K412" s="3">
        <f t="shared" si="49"/>
        <v>186</v>
      </c>
      <c r="L412" s="5">
        <f t="shared" si="50"/>
        <v>0</v>
      </c>
      <c r="M412" s="5">
        <f t="shared" si="51"/>
        <v>67.519425638237465</v>
      </c>
      <c r="N412" s="5">
        <f t="shared" si="52"/>
        <v>6.5598724140083604</v>
      </c>
      <c r="O412" s="5">
        <f t="shared" si="53"/>
        <v>6.5598724140083604</v>
      </c>
      <c r="P412" s="5">
        <f t="shared" si="54"/>
        <v>90.207453672664485</v>
      </c>
      <c r="Q412" s="5">
        <f t="shared" si="55"/>
        <v>9.7155334957313197</v>
      </c>
    </row>
    <row r="413" spans="1:17" x14ac:dyDescent="0.2">
      <c r="A413" t="str">
        <f t="shared" si="48"/>
        <v>Utah_2015</v>
      </c>
      <c r="B413" t="s">
        <v>50</v>
      </c>
      <c r="C413">
        <v>2015</v>
      </c>
      <c r="D413" s="3">
        <v>2906075</v>
      </c>
      <c r="E413" s="3">
        <v>2619158.841</v>
      </c>
      <c r="F413" s="3">
        <v>287988.467</v>
      </c>
      <c r="G413" s="3">
        <v>170</v>
      </c>
      <c r="H413" s="3">
        <v>0</v>
      </c>
      <c r="I413" s="3">
        <v>46.730000000000004</v>
      </c>
      <c r="J413" s="3">
        <v>33.924999999999997</v>
      </c>
      <c r="K413" s="3">
        <f t="shared" si="49"/>
        <v>170</v>
      </c>
      <c r="L413" s="5">
        <f t="shared" si="50"/>
        <v>0</v>
      </c>
      <c r="M413" s="5">
        <f t="shared" si="51"/>
        <v>59.030141647998697</v>
      </c>
      <c r="N413" s="5">
        <f t="shared" si="52"/>
        <v>5.8498146124927954</v>
      </c>
      <c r="O413" s="5">
        <f t="shared" si="53"/>
        <v>5.8498146124927954</v>
      </c>
      <c r="P413" s="5">
        <f t="shared" si="54"/>
        <v>90.127021532479375</v>
      </c>
      <c r="Q413" s="5">
        <f t="shared" si="55"/>
        <v>9.9098773087411711</v>
      </c>
    </row>
    <row r="414" spans="1:17" x14ac:dyDescent="0.2">
      <c r="A414" t="str">
        <f t="shared" si="48"/>
        <v>Utah_2016</v>
      </c>
      <c r="B414" t="s">
        <v>50</v>
      </c>
      <c r="C414">
        <v>2016</v>
      </c>
      <c r="D414" s="3">
        <v>2919477</v>
      </c>
      <c r="E414" s="3">
        <v>2623298.6119999997</v>
      </c>
      <c r="F414" s="3">
        <v>296775.47900000005</v>
      </c>
      <c r="G414" s="3">
        <v>183</v>
      </c>
      <c r="H414" s="3">
        <v>0</v>
      </c>
      <c r="I414" s="3">
        <v>45.540000000000006</v>
      </c>
      <c r="J414" s="3">
        <v>32.649999999999991</v>
      </c>
      <c r="K414" s="3">
        <f t="shared" si="49"/>
        <v>183</v>
      </c>
      <c r="L414" s="5">
        <f t="shared" si="50"/>
        <v>0</v>
      </c>
      <c r="M414" s="5">
        <f t="shared" si="51"/>
        <v>61.662776391306899</v>
      </c>
      <c r="N414" s="5">
        <f t="shared" si="52"/>
        <v>6.2682459906346235</v>
      </c>
      <c r="O414" s="5">
        <f t="shared" si="53"/>
        <v>6.2682459906346235</v>
      </c>
      <c r="P414" s="5">
        <f t="shared" si="54"/>
        <v>89.855087469433727</v>
      </c>
      <c r="Q414" s="5">
        <f t="shared" si="55"/>
        <v>10.165364515630712</v>
      </c>
    </row>
    <row r="415" spans="1:17" x14ac:dyDescent="0.2">
      <c r="A415" t="str">
        <f t="shared" si="48"/>
        <v>Utah_2017</v>
      </c>
      <c r="B415" t="s">
        <v>50</v>
      </c>
      <c r="C415">
        <v>2017</v>
      </c>
      <c r="D415" s="3">
        <v>2989969</v>
      </c>
      <c r="E415" s="3">
        <v>2675986</v>
      </c>
      <c r="F415" s="3">
        <v>313983</v>
      </c>
      <c r="G415" s="3">
        <v>109</v>
      </c>
      <c r="H415" s="3">
        <v>0</v>
      </c>
      <c r="I415" s="3">
        <v>43.36</v>
      </c>
      <c r="J415" s="3">
        <v>29.225000000000005</v>
      </c>
      <c r="K415" s="3">
        <f t="shared" si="49"/>
        <v>109</v>
      </c>
      <c r="L415" s="5">
        <f t="shared" si="50"/>
        <v>0</v>
      </c>
      <c r="M415" s="5">
        <f t="shared" si="51"/>
        <v>34.715255284521774</v>
      </c>
      <c r="N415" s="5">
        <f t="shared" si="52"/>
        <v>3.6455227462224529</v>
      </c>
      <c r="O415" s="5">
        <f t="shared" si="53"/>
        <v>3.6455227462224529</v>
      </c>
      <c r="P415" s="5">
        <f t="shared" si="54"/>
        <v>89.498787445622341</v>
      </c>
      <c r="Q415" s="5">
        <f t="shared" si="55"/>
        <v>10.501212554377654</v>
      </c>
    </row>
    <row r="416" spans="1:17" x14ac:dyDescent="0.2">
      <c r="A416" t="str">
        <f t="shared" si="48"/>
        <v>Vermont_2009</v>
      </c>
      <c r="B416" t="s">
        <v>51</v>
      </c>
      <c r="C416">
        <v>2009</v>
      </c>
      <c r="D416" s="3">
        <v>620414</v>
      </c>
      <c r="E416" s="3">
        <v>535329.5</v>
      </c>
      <c r="F416" s="3">
        <v>85495.759000000005</v>
      </c>
      <c r="G416" s="3">
        <v>0</v>
      </c>
      <c r="H416" s="3">
        <v>0</v>
      </c>
      <c r="I416" s="3">
        <v>51.707692307692319</v>
      </c>
      <c r="J416" s="3">
        <v>50.92307692307692</v>
      </c>
      <c r="K416" s="3">
        <f t="shared" si="49"/>
        <v>0</v>
      </c>
      <c r="L416" s="5">
        <f t="shared" si="50"/>
        <v>0</v>
      </c>
      <c r="M416" s="5">
        <f t="shared" si="51"/>
        <v>0</v>
      </c>
      <c r="N416" s="5">
        <f t="shared" si="52"/>
        <v>0</v>
      </c>
      <c r="O416" s="5">
        <f t="shared" si="53"/>
        <v>0</v>
      </c>
      <c r="P416" s="5">
        <f t="shared" si="54"/>
        <v>86.285851060743312</v>
      </c>
      <c r="Q416" s="5">
        <f t="shared" si="55"/>
        <v>13.78043677286457</v>
      </c>
    </row>
    <row r="417" spans="1:17" x14ac:dyDescent="0.2">
      <c r="A417" t="str">
        <f t="shared" si="48"/>
        <v>Vermont_2010</v>
      </c>
      <c r="B417" t="s">
        <v>51</v>
      </c>
      <c r="C417">
        <v>2010</v>
      </c>
      <c r="D417" s="3">
        <v>572962</v>
      </c>
      <c r="E417" s="3">
        <v>493227.74299999996</v>
      </c>
      <c r="F417" s="3">
        <v>80000.305999999997</v>
      </c>
      <c r="G417" s="3">
        <v>0</v>
      </c>
      <c r="H417" s="3">
        <v>0</v>
      </c>
      <c r="I417" s="3">
        <v>59.288888888888891</v>
      </c>
      <c r="J417" s="3">
        <v>35.405555555555551</v>
      </c>
      <c r="K417" s="3">
        <f t="shared" si="49"/>
        <v>0</v>
      </c>
      <c r="L417" s="5">
        <f t="shared" si="50"/>
        <v>0</v>
      </c>
      <c r="M417" s="5">
        <f t="shared" si="51"/>
        <v>0</v>
      </c>
      <c r="N417" s="5">
        <f t="shared" si="52"/>
        <v>0</v>
      </c>
      <c r="O417" s="5">
        <f t="shared" si="53"/>
        <v>0</v>
      </c>
      <c r="P417" s="5">
        <f t="shared" si="54"/>
        <v>86.083849016165118</v>
      </c>
      <c r="Q417" s="5">
        <f t="shared" si="55"/>
        <v>13.962584953277879</v>
      </c>
    </row>
    <row r="418" spans="1:17" x14ac:dyDescent="0.2">
      <c r="A418" t="str">
        <f t="shared" si="48"/>
        <v>Vermont_2011</v>
      </c>
      <c r="B418" t="s">
        <v>51</v>
      </c>
      <c r="C418">
        <v>2011</v>
      </c>
      <c r="D418" s="3">
        <v>691057</v>
      </c>
      <c r="E418" s="3">
        <v>591007.071</v>
      </c>
      <c r="F418" s="3">
        <v>99758.612000000008</v>
      </c>
      <c r="G418" s="3" t="s">
        <v>61</v>
      </c>
      <c r="H418" s="3" t="s">
        <v>61</v>
      </c>
      <c r="I418" s="3">
        <v>58.755555555555553</v>
      </c>
      <c r="J418" s="3">
        <v>34.6</v>
      </c>
      <c r="K418" s="3" t="e">
        <f t="shared" si="49"/>
        <v>#VALUE!</v>
      </c>
      <c r="L418" s="5" t="e">
        <f t="shared" si="50"/>
        <v>#VALUE!</v>
      </c>
      <c r="M418" s="5" t="e">
        <f t="shared" si="51"/>
        <v>#VALUE!</v>
      </c>
      <c r="N418" s="5" t="e">
        <f t="shared" si="52"/>
        <v>#VALUE!</v>
      </c>
      <c r="O418" s="5" t="e">
        <f t="shared" si="53"/>
        <v>#VALUE!</v>
      </c>
      <c r="P418" s="5">
        <f t="shared" si="54"/>
        <v>85.522188618305009</v>
      </c>
      <c r="Q418" s="5">
        <f t="shared" si="55"/>
        <v>14.435656103620975</v>
      </c>
    </row>
    <row r="419" spans="1:17" x14ac:dyDescent="0.2">
      <c r="A419" t="str">
        <f t="shared" si="48"/>
        <v>Vermont_2012</v>
      </c>
      <c r="B419" t="s">
        <v>51</v>
      </c>
      <c r="C419">
        <v>2012</v>
      </c>
      <c r="D419" s="3">
        <v>647458</v>
      </c>
      <c r="E419" s="3">
        <v>552876.91899999999</v>
      </c>
      <c r="F419" s="3">
        <v>95091.854999999996</v>
      </c>
      <c r="G419" s="3">
        <v>0</v>
      </c>
      <c r="H419" s="3">
        <v>0</v>
      </c>
      <c r="I419" s="3">
        <v>57.166666666666664</v>
      </c>
      <c r="J419" s="3">
        <v>38.852631578947367</v>
      </c>
      <c r="K419" s="3">
        <f t="shared" si="49"/>
        <v>0</v>
      </c>
      <c r="L419" s="5">
        <f t="shared" si="50"/>
        <v>0</v>
      </c>
      <c r="M419" s="5">
        <f t="shared" si="51"/>
        <v>0</v>
      </c>
      <c r="N419" s="5">
        <f t="shared" si="52"/>
        <v>0</v>
      </c>
      <c r="O419" s="5">
        <f t="shared" si="53"/>
        <v>0</v>
      </c>
      <c r="P419" s="5">
        <f t="shared" si="54"/>
        <v>85.391935693126044</v>
      </c>
      <c r="Q419" s="5">
        <f t="shared" si="55"/>
        <v>14.686953439450898</v>
      </c>
    </row>
    <row r="420" spans="1:17" x14ac:dyDescent="0.2">
      <c r="A420" t="str">
        <f t="shared" si="48"/>
        <v>Vermont_2013</v>
      </c>
      <c r="B420" t="s">
        <v>51</v>
      </c>
      <c r="C420">
        <v>2013</v>
      </c>
      <c r="D420" s="3">
        <v>557930</v>
      </c>
      <c r="E420" s="3">
        <v>475083.99799999996</v>
      </c>
      <c r="F420" s="3">
        <v>83027.619000000006</v>
      </c>
      <c r="G420" s="3">
        <v>0</v>
      </c>
      <c r="H420" s="3">
        <v>0</v>
      </c>
      <c r="I420" s="3">
        <v>53.56</v>
      </c>
      <c r="J420" s="3">
        <v>36.929999999999993</v>
      </c>
      <c r="K420" s="3">
        <f t="shared" si="49"/>
        <v>0</v>
      </c>
      <c r="L420" s="5">
        <f t="shared" si="50"/>
        <v>0</v>
      </c>
      <c r="M420" s="5">
        <f t="shared" si="51"/>
        <v>0</v>
      </c>
      <c r="N420" s="5">
        <f t="shared" si="52"/>
        <v>0</v>
      </c>
      <c r="O420" s="5">
        <f t="shared" si="53"/>
        <v>0</v>
      </c>
      <c r="P420" s="5">
        <f t="shared" si="54"/>
        <v>85.151183481798782</v>
      </c>
      <c r="Q420" s="5">
        <f t="shared" si="55"/>
        <v>14.881368451239405</v>
      </c>
    </row>
    <row r="421" spans="1:17" x14ac:dyDescent="0.2">
      <c r="A421" t="str">
        <f t="shared" si="48"/>
        <v>Vermont_2014</v>
      </c>
      <c r="B421" t="s">
        <v>51</v>
      </c>
      <c r="C421">
        <v>2014</v>
      </c>
      <c r="D421" s="3">
        <v>508585</v>
      </c>
      <c r="E421" s="3">
        <v>430813.02399999998</v>
      </c>
      <c r="F421" s="3">
        <v>78257.342999999993</v>
      </c>
      <c r="G421" s="3">
        <v>0</v>
      </c>
      <c r="H421" s="3">
        <v>0</v>
      </c>
      <c r="I421" s="3">
        <v>51.319999999999993</v>
      </c>
      <c r="J421" s="3">
        <v>41.347368421052636</v>
      </c>
      <c r="K421" s="3">
        <f t="shared" si="49"/>
        <v>0</v>
      </c>
      <c r="L421" s="5">
        <f t="shared" si="50"/>
        <v>0</v>
      </c>
      <c r="M421" s="5">
        <f t="shared" si="51"/>
        <v>0</v>
      </c>
      <c r="N421" s="5">
        <f t="shared" si="52"/>
        <v>0</v>
      </c>
      <c r="O421" s="5">
        <f t="shared" si="53"/>
        <v>0</v>
      </c>
      <c r="P421" s="5">
        <f t="shared" si="54"/>
        <v>84.708165596704575</v>
      </c>
      <c r="Q421" s="5">
        <f t="shared" si="55"/>
        <v>15.38726918804133</v>
      </c>
    </row>
    <row r="422" spans="1:17" x14ac:dyDescent="0.2">
      <c r="A422" t="str">
        <f t="shared" si="48"/>
        <v>Vermont_2015</v>
      </c>
      <c r="B422" t="s">
        <v>51</v>
      </c>
      <c r="C422">
        <v>2015</v>
      </c>
      <c r="D422" s="3">
        <v>746112</v>
      </c>
      <c r="E422" s="3">
        <v>625689.88800000004</v>
      </c>
      <c r="F422" s="3">
        <v>120384.09000000001</v>
      </c>
      <c r="G422" s="3">
        <v>20</v>
      </c>
      <c r="H422" s="3">
        <v>0</v>
      </c>
      <c r="I422" s="3">
        <v>50.78</v>
      </c>
      <c r="J422" s="3">
        <v>37.81</v>
      </c>
      <c r="K422" s="3">
        <f t="shared" si="49"/>
        <v>20</v>
      </c>
      <c r="L422" s="5">
        <f t="shared" si="50"/>
        <v>0</v>
      </c>
      <c r="M422" s="5">
        <f t="shared" si="51"/>
        <v>16.613491035235633</v>
      </c>
      <c r="N422" s="5">
        <f t="shared" si="52"/>
        <v>2.6805627037227655</v>
      </c>
      <c r="O422" s="5">
        <f t="shared" si="53"/>
        <v>2.6805627037227655</v>
      </c>
      <c r="P422" s="5">
        <f t="shared" si="54"/>
        <v>83.860048893463727</v>
      </c>
      <c r="Q422" s="5">
        <f t="shared" si="55"/>
        <v>16.134855088780238</v>
      </c>
    </row>
    <row r="423" spans="1:17" x14ac:dyDescent="0.2">
      <c r="A423" t="str">
        <f t="shared" si="48"/>
        <v>Vermont_2016</v>
      </c>
      <c r="B423" t="s">
        <v>51</v>
      </c>
      <c r="C423">
        <v>2016</v>
      </c>
      <c r="D423" s="3">
        <v>555569</v>
      </c>
      <c r="E423" s="3">
        <v>460502.19199999986</v>
      </c>
      <c r="F423" s="3">
        <v>95052.504000000001</v>
      </c>
      <c r="G423" s="3">
        <v>0</v>
      </c>
      <c r="H423" s="3">
        <v>0</v>
      </c>
      <c r="I423" s="3">
        <v>53.199999999999996</v>
      </c>
      <c r="J423" s="3">
        <v>36.184999999999995</v>
      </c>
      <c r="K423" s="3">
        <f t="shared" si="49"/>
        <v>0</v>
      </c>
      <c r="L423" s="5">
        <f t="shared" si="50"/>
        <v>0</v>
      </c>
      <c r="M423" s="5">
        <f t="shared" si="51"/>
        <v>0</v>
      </c>
      <c r="N423" s="5">
        <f t="shared" si="52"/>
        <v>0</v>
      </c>
      <c r="O423" s="5">
        <f t="shared" si="53"/>
        <v>0</v>
      </c>
      <c r="P423" s="5">
        <f t="shared" si="54"/>
        <v>82.88838866099438</v>
      </c>
      <c r="Q423" s="5">
        <f t="shared" si="55"/>
        <v>17.109036681312311</v>
      </c>
    </row>
    <row r="424" spans="1:17" x14ac:dyDescent="0.2">
      <c r="A424" t="str">
        <f t="shared" si="48"/>
        <v>Vermont_2017</v>
      </c>
      <c r="B424" t="s">
        <v>51</v>
      </c>
      <c r="C424">
        <v>2017</v>
      </c>
      <c r="D424" s="3">
        <v>657467</v>
      </c>
      <c r="E424" s="3">
        <v>541891</v>
      </c>
      <c r="F424" s="3">
        <v>115576</v>
      </c>
      <c r="G424" s="3">
        <v>0</v>
      </c>
      <c r="H424" s="3">
        <v>0</v>
      </c>
      <c r="I424" s="3">
        <v>45.34</v>
      </c>
      <c r="J424" s="3">
        <v>33.735000000000007</v>
      </c>
      <c r="K424" s="3">
        <f t="shared" si="49"/>
        <v>0</v>
      </c>
      <c r="L424" s="5">
        <f t="shared" si="50"/>
        <v>0</v>
      </c>
      <c r="M424" s="5">
        <f t="shared" si="51"/>
        <v>0</v>
      </c>
      <c r="N424" s="5">
        <f t="shared" si="52"/>
        <v>0</v>
      </c>
      <c r="O424" s="5">
        <f t="shared" si="53"/>
        <v>0</v>
      </c>
      <c r="P424" s="5">
        <f t="shared" si="54"/>
        <v>82.421018849615265</v>
      </c>
      <c r="Q424" s="5">
        <f t="shared" si="55"/>
        <v>17.578981150384735</v>
      </c>
    </row>
    <row r="425" spans="1:17" x14ac:dyDescent="0.2">
      <c r="A425" t="str">
        <f t="shared" si="48"/>
        <v>Virginia_2009</v>
      </c>
      <c r="B425" t="s">
        <v>52</v>
      </c>
      <c r="C425">
        <v>2009</v>
      </c>
      <c r="D425" s="3">
        <v>7685567</v>
      </c>
      <c r="E425" s="3">
        <v>6785522.5550000006</v>
      </c>
      <c r="F425" s="3">
        <v>900528.42399999988</v>
      </c>
      <c r="G425" s="3">
        <v>1011</v>
      </c>
      <c r="H425" s="3">
        <v>44</v>
      </c>
      <c r="I425" s="3">
        <v>49.865384615384613</v>
      </c>
      <c r="J425" s="3">
        <v>42.18928571428571</v>
      </c>
      <c r="K425" s="3">
        <f t="shared" si="49"/>
        <v>1055</v>
      </c>
      <c r="L425" s="5">
        <f t="shared" si="50"/>
        <v>0.64843937432022869</v>
      </c>
      <c r="M425" s="5">
        <f t="shared" si="51"/>
        <v>112.26741689166272</v>
      </c>
      <c r="N425" s="5">
        <f t="shared" si="52"/>
        <v>13.72702885811808</v>
      </c>
      <c r="O425" s="5">
        <f t="shared" si="53"/>
        <v>13.72702885811808</v>
      </c>
      <c r="P425" s="5">
        <f t="shared" si="54"/>
        <v>88.289160123124304</v>
      </c>
      <c r="Q425" s="5">
        <f t="shared" si="55"/>
        <v>11.717137122088713</v>
      </c>
    </row>
    <row r="426" spans="1:17" x14ac:dyDescent="0.2">
      <c r="A426" t="str">
        <f t="shared" si="48"/>
        <v>Virginia_2010</v>
      </c>
      <c r="B426" t="s">
        <v>52</v>
      </c>
      <c r="C426">
        <v>2010</v>
      </c>
      <c r="D426" s="3">
        <v>7572296</v>
      </c>
      <c r="E426" s="3">
        <v>6682056.1689999979</v>
      </c>
      <c r="F426" s="3">
        <v>889388.50399999961</v>
      </c>
      <c r="G426" s="3">
        <v>1023</v>
      </c>
      <c r="H426" s="3">
        <v>0</v>
      </c>
      <c r="I426" s="3">
        <v>58.377777777777773</v>
      </c>
      <c r="J426" s="3">
        <v>36.999999999999993</v>
      </c>
      <c r="K426" s="3">
        <f t="shared" si="49"/>
        <v>1023</v>
      </c>
      <c r="L426" s="5">
        <f t="shared" si="50"/>
        <v>0</v>
      </c>
      <c r="M426" s="5">
        <f t="shared" si="51"/>
        <v>115.02284945207708</v>
      </c>
      <c r="N426" s="5">
        <f t="shared" si="52"/>
        <v>13.509772993554398</v>
      </c>
      <c r="O426" s="5">
        <f t="shared" si="53"/>
        <v>13.509772993554398</v>
      </c>
      <c r="P426" s="5">
        <f t="shared" si="54"/>
        <v>88.243462339559869</v>
      </c>
      <c r="Q426" s="5">
        <f t="shared" si="55"/>
        <v>11.745295006956933</v>
      </c>
    </row>
    <row r="427" spans="1:17" x14ac:dyDescent="0.2">
      <c r="A427" t="str">
        <f t="shared" si="48"/>
        <v>Virginia_2011</v>
      </c>
      <c r="B427" t="s">
        <v>52</v>
      </c>
      <c r="C427">
        <v>2011</v>
      </c>
      <c r="D427" s="3">
        <v>7910723</v>
      </c>
      <c r="E427" s="3">
        <v>6963120.5479999986</v>
      </c>
      <c r="F427" s="3">
        <v>950665.41699999943</v>
      </c>
      <c r="G427" s="3">
        <v>1204</v>
      </c>
      <c r="H427" s="3">
        <v>81</v>
      </c>
      <c r="I427" s="3">
        <v>53.87777777777778</v>
      </c>
      <c r="J427" s="3">
        <v>34.475000000000009</v>
      </c>
      <c r="K427" s="3">
        <f t="shared" si="49"/>
        <v>1285</v>
      </c>
      <c r="L427" s="5">
        <f t="shared" si="50"/>
        <v>1.1632715453025646</v>
      </c>
      <c r="M427" s="5">
        <f t="shared" si="51"/>
        <v>126.64813282042431</v>
      </c>
      <c r="N427" s="5">
        <f t="shared" si="52"/>
        <v>16.243774431237195</v>
      </c>
      <c r="O427" s="5">
        <f t="shared" si="53"/>
        <v>16.243774431237195</v>
      </c>
      <c r="P427" s="5">
        <f t="shared" si="54"/>
        <v>88.021291454649571</v>
      </c>
      <c r="Q427" s="5">
        <f t="shared" si="55"/>
        <v>12.01742769908641</v>
      </c>
    </row>
    <row r="428" spans="1:17" x14ac:dyDescent="0.2">
      <c r="A428" t="str">
        <f t="shared" si="48"/>
        <v>Virginia_2012</v>
      </c>
      <c r="B428" t="s">
        <v>52</v>
      </c>
      <c r="C428">
        <v>2012</v>
      </c>
      <c r="D428" s="3">
        <v>7625851</v>
      </c>
      <c r="E428" s="3">
        <v>6695031.3149999967</v>
      </c>
      <c r="F428" s="3">
        <v>929517.84299999964</v>
      </c>
      <c r="G428" s="3">
        <v>1096</v>
      </c>
      <c r="H428" s="3">
        <v>20</v>
      </c>
      <c r="I428" s="3">
        <v>58.288888888888877</v>
      </c>
      <c r="J428" s="3">
        <v>38.015000000000001</v>
      </c>
      <c r="K428" s="3">
        <f t="shared" si="49"/>
        <v>1116</v>
      </c>
      <c r="L428" s="5">
        <f t="shared" si="50"/>
        <v>0.29872899855136836</v>
      </c>
      <c r="M428" s="5">
        <f t="shared" si="51"/>
        <v>117.91059292231363</v>
      </c>
      <c r="N428" s="5">
        <f t="shared" si="52"/>
        <v>14.634432275165093</v>
      </c>
      <c r="O428" s="5">
        <f t="shared" si="53"/>
        <v>14.634432275165093</v>
      </c>
      <c r="P428" s="5">
        <f t="shared" si="54"/>
        <v>87.793891003115547</v>
      </c>
      <c r="Q428" s="5">
        <f t="shared" si="55"/>
        <v>12.189037564463293</v>
      </c>
    </row>
    <row r="429" spans="1:17" x14ac:dyDescent="0.2">
      <c r="A429" t="str">
        <f t="shared" si="48"/>
        <v>Virginia_2013</v>
      </c>
      <c r="B429" t="s">
        <v>52</v>
      </c>
      <c r="C429">
        <v>2013</v>
      </c>
      <c r="D429" s="3">
        <v>8076916</v>
      </c>
      <c r="E429" s="3">
        <v>7061020.6150000021</v>
      </c>
      <c r="F429" s="3">
        <v>1016807.2019999998</v>
      </c>
      <c r="G429" s="3">
        <v>1226</v>
      </c>
      <c r="H429" s="3">
        <v>46</v>
      </c>
      <c r="I429" s="3">
        <v>52.42</v>
      </c>
      <c r="J429" s="3">
        <v>38.950000000000003</v>
      </c>
      <c r="K429" s="3">
        <f t="shared" si="49"/>
        <v>1272</v>
      </c>
      <c r="L429" s="5">
        <f t="shared" si="50"/>
        <v>0.65146389605888422</v>
      </c>
      <c r="M429" s="5">
        <f t="shared" si="51"/>
        <v>120.57349688205693</v>
      </c>
      <c r="N429" s="5">
        <f t="shared" si="52"/>
        <v>15.748585227331818</v>
      </c>
      <c r="O429" s="5">
        <f t="shared" si="53"/>
        <v>15.748585227331818</v>
      </c>
      <c r="P429" s="5">
        <f t="shared" si="54"/>
        <v>87.422236593769227</v>
      </c>
      <c r="Q429" s="5">
        <f t="shared" si="55"/>
        <v>12.589052578979402</v>
      </c>
    </row>
    <row r="430" spans="1:17" x14ac:dyDescent="0.2">
      <c r="A430" t="str">
        <f t="shared" si="48"/>
        <v>Virginia_2014</v>
      </c>
      <c r="B430" t="s">
        <v>52</v>
      </c>
      <c r="C430">
        <v>2014</v>
      </c>
      <c r="D430" s="3">
        <v>8114452</v>
      </c>
      <c r="E430" s="3">
        <v>7060661.6969999969</v>
      </c>
      <c r="F430" s="3">
        <v>1052549.0860000004</v>
      </c>
      <c r="G430" s="3">
        <v>1229</v>
      </c>
      <c r="H430" s="3">
        <v>144</v>
      </c>
      <c r="I430" s="3">
        <v>47.081818181818178</v>
      </c>
      <c r="J430" s="3">
        <v>40.6</v>
      </c>
      <c r="K430" s="3">
        <f t="shared" si="49"/>
        <v>1373</v>
      </c>
      <c r="L430" s="5">
        <f t="shared" si="50"/>
        <v>2.0394689078671497</v>
      </c>
      <c r="M430" s="5">
        <f t="shared" si="51"/>
        <v>116.76415060798405</v>
      </c>
      <c r="N430" s="5">
        <f t="shared" si="52"/>
        <v>16.920427898273353</v>
      </c>
      <c r="O430" s="5">
        <f t="shared" si="53"/>
        <v>16.920427898273353</v>
      </c>
      <c r="P430" s="5">
        <f t="shared" si="54"/>
        <v>87.013413807857845</v>
      </c>
      <c r="Q430" s="5">
        <f t="shared" si="55"/>
        <v>12.971289817229806</v>
      </c>
    </row>
    <row r="431" spans="1:17" x14ac:dyDescent="0.2">
      <c r="A431" t="str">
        <f t="shared" si="48"/>
        <v>Virginia_2015</v>
      </c>
      <c r="B431" t="s">
        <v>52</v>
      </c>
      <c r="C431">
        <v>2015</v>
      </c>
      <c r="D431" s="3">
        <v>8323168</v>
      </c>
      <c r="E431" s="3">
        <v>7218650.0130000012</v>
      </c>
      <c r="F431" s="3">
        <v>1107706.7150000005</v>
      </c>
      <c r="G431" s="3">
        <v>1206</v>
      </c>
      <c r="H431" s="3">
        <v>101</v>
      </c>
      <c r="I431" s="3">
        <v>50.87</v>
      </c>
      <c r="J431" s="3">
        <v>36.633333333333333</v>
      </c>
      <c r="K431" s="3">
        <f t="shared" si="49"/>
        <v>1307</v>
      </c>
      <c r="L431" s="5">
        <f t="shared" si="50"/>
        <v>1.39915357882859</v>
      </c>
      <c r="M431" s="5">
        <f t="shared" si="51"/>
        <v>108.8735839251457</v>
      </c>
      <c r="N431" s="5">
        <f t="shared" si="52"/>
        <v>15.703155337006294</v>
      </c>
      <c r="O431" s="5">
        <f t="shared" si="53"/>
        <v>15.703155337006294</v>
      </c>
      <c r="P431" s="5">
        <f t="shared" si="54"/>
        <v>86.729596386856556</v>
      </c>
      <c r="Q431" s="5">
        <f t="shared" si="55"/>
        <v>13.308715083006861</v>
      </c>
    </row>
    <row r="432" spans="1:17" x14ac:dyDescent="0.2">
      <c r="A432" t="str">
        <f t="shared" si="48"/>
        <v>Virginia_2016</v>
      </c>
      <c r="B432" t="s">
        <v>52</v>
      </c>
      <c r="C432">
        <v>2016</v>
      </c>
      <c r="D432" s="3">
        <v>8182040</v>
      </c>
      <c r="E432" s="3">
        <v>7068644.6059999987</v>
      </c>
      <c r="F432" s="3">
        <v>1109988.7190000005</v>
      </c>
      <c r="G432" s="3">
        <v>982</v>
      </c>
      <c r="H432" s="3">
        <v>80</v>
      </c>
      <c r="I432" s="3">
        <v>46</v>
      </c>
      <c r="J432" s="3">
        <v>37.875000000000007</v>
      </c>
      <c r="K432" s="3">
        <f t="shared" si="49"/>
        <v>1062</v>
      </c>
      <c r="L432" s="5">
        <f t="shared" si="50"/>
        <v>1.1317586957490335</v>
      </c>
      <c r="M432" s="5">
        <f t="shared" si="51"/>
        <v>88.469367588230384</v>
      </c>
      <c r="N432" s="5">
        <f t="shared" si="52"/>
        <v>12.979648107317979</v>
      </c>
      <c r="O432" s="5">
        <f t="shared" si="53"/>
        <v>12.979648107317979</v>
      </c>
      <c r="P432" s="5">
        <f t="shared" si="54"/>
        <v>86.392202995829876</v>
      </c>
      <c r="Q432" s="5">
        <f t="shared" si="55"/>
        <v>13.566160994079723</v>
      </c>
    </row>
    <row r="433" spans="1:17" x14ac:dyDescent="0.2">
      <c r="A433" t="str">
        <f t="shared" si="48"/>
        <v>Virginia_2017</v>
      </c>
      <c r="B433" t="s">
        <v>52</v>
      </c>
      <c r="C433">
        <v>2017</v>
      </c>
      <c r="D433" s="3">
        <v>8225462</v>
      </c>
      <c r="E433" s="3">
        <v>7073007</v>
      </c>
      <c r="F433" s="3">
        <v>1152455</v>
      </c>
      <c r="G433" s="3">
        <v>1027</v>
      </c>
      <c r="H433" s="3">
        <v>85</v>
      </c>
      <c r="I433" s="3">
        <v>49.289999999999992</v>
      </c>
      <c r="J433" s="3">
        <v>34.145454545454555</v>
      </c>
      <c r="K433" s="3">
        <f t="shared" si="49"/>
        <v>1112</v>
      </c>
      <c r="L433" s="5">
        <f t="shared" si="50"/>
        <v>1.2017519564168393</v>
      </c>
      <c r="M433" s="5">
        <f t="shared" si="51"/>
        <v>89.114108576907554</v>
      </c>
      <c r="N433" s="5">
        <f t="shared" si="52"/>
        <v>13.518997473941283</v>
      </c>
      <c r="O433" s="5">
        <f t="shared" si="53"/>
        <v>13.518997473941283</v>
      </c>
      <c r="P433" s="5">
        <f t="shared" si="54"/>
        <v>85.989176048713134</v>
      </c>
      <c r="Q433" s="5">
        <f t="shared" si="55"/>
        <v>14.010823951286868</v>
      </c>
    </row>
    <row r="434" spans="1:17" x14ac:dyDescent="0.2">
      <c r="A434" t="str">
        <f t="shared" si="48"/>
        <v>Washington_2009</v>
      </c>
      <c r="B434" t="s">
        <v>53</v>
      </c>
      <c r="C434">
        <v>2009</v>
      </c>
      <c r="D434" s="3">
        <v>6465755</v>
      </c>
      <c r="E434" s="3">
        <v>5704893.8649999993</v>
      </c>
      <c r="F434" s="3">
        <v>758541.45000000007</v>
      </c>
      <c r="G434" s="3">
        <v>490</v>
      </c>
      <c r="H434" s="3">
        <v>56</v>
      </c>
      <c r="I434" s="3">
        <v>46.635714285714286</v>
      </c>
      <c r="J434" s="3">
        <v>31.653571428571432</v>
      </c>
      <c r="K434" s="3">
        <f t="shared" si="49"/>
        <v>546</v>
      </c>
      <c r="L434" s="5">
        <f t="shared" si="50"/>
        <v>0.98161335381828363</v>
      </c>
      <c r="M434" s="5">
        <f t="shared" si="51"/>
        <v>64.597656462939497</v>
      </c>
      <c r="N434" s="5">
        <f t="shared" si="52"/>
        <v>8.4444894679739644</v>
      </c>
      <c r="O434" s="5">
        <f t="shared" si="53"/>
        <v>8.4444894679739644</v>
      </c>
      <c r="P434" s="5">
        <f t="shared" si="54"/>
        <v>88.232447177475777</v>
      </c>
      <c r="Q434" s="5">
        <f t="shared" si="55"/>
        <v>11.73167634715513</v>
      </c>
    </row>
    <row r="435" spans="1:17" x14ac:dyDescent="0.2">
      <c r="A435" t="str">
        <f t="shared" si="48"/>
        <v>Washington_2010</v>
      </c>
      <c r="B435" t="s">
        <v>53</v>
      </c>
      <c r="C435">
        <v>2010</v>
      </c>
      <c r="D435" s="3">
        <v>6541242</v>
      </c>
      <c r="E435" s="3">
        <v>5763370.0139999986</v>
      </c>
      <c r="F435" s="3">
        <v>775931.8679999999</v>
      </c>
      <c r="G435" s="3">
        <v>400</v>
      </c>
      <c r="H435" s="3">
        <v>11</v>
      </c>
      <c r="I435" s="3">
        <v>49.17</v>
      </c>
      <c r="J435" s="3">
        <v>30.729999999999997</v>
      </c>
      <c r="K435" s="3">
        <f t="shared" si="49"/>
        <v>411</v>
      </c>
      <c r="L435" s="5">
        <f t="shared" si="50"/>
        <v>0.19086055507939845</v>
      </c>
      <c r="M435" s="5">
        <f t="shared" si="51"/>
        <v>51.550917870021038</v>
      </c>
      <c r="N435" s="5">
        <f t="shared" si="52"/>
        <v>6.2832104361832206</v>
      </c>
      <c r="O435" s="5">
        <f t="shared" si="53"/>
        <v>6.2832104361832206</v>
      </c>
      <c r="P435" s="5">
        <f t="shared" si="54"/>
        <v>88.108191288443365</v>
      </c>
      <c r="Q435" s="5">
        <f t="shared" si="55"/>
        <v>11.862148931349733</v>
      </c>
    </row>
    <row r="436" spans="1:17" x14ac:dyDescent="0.2">
      <c r="A436" t="str">
        <f t="shared" si="48"/>
        <v>Washington_2011</v>
      </c>
      <c r="B436" t="s">
        <v>53</v>
      </c>
      <c r="C436">
        <v>2011</v>
      </c>
      <c r="D436" s="3">
        <v>6628098</v>
      </c>
      <c r="E436" s="3">
        <v>5823987.8039999986</v>
      </c>
      <c r="F436" s="3">
        <v>804861.67200000002</v>
      </c>
      <c r="G436" s="3">
        <v>569</v>
      </c>
      <c r="H436" s="3">
        <v>12</v>
      </c>
      <c r="I436" s="3">
        <v>48.81</v>
      </c>
      <c r="J436" s="3">
        <v>29.884999999999998</v>
      </c>
      <c r="K436" s="3">
        <f t="shared" si="49"/>
        <v>581</v>
      </c>
      <c r="L436" s="5">
        <f t="shared" si="50"/>
        <v>0.20604438752014945</v>
      </c>
      <c r="M436" s="5">
        <f t="shared" si="51"/>
        <v>70.695377826365174</v>
      </c>
      <c r="N436" s="5">
        <f t="shared" si="52"/>
        <v>8.765712275225864</v>
      </c>
      <c r="O436" s="5">
        <f t="shared" si="53"/>
        <v>8.765712275225864</v>
      </c>
      <c r="P436" s="5">
        <f t="shared" si="54"/>
        <v>87.86816073027282</v>
      </c>
      <c r="Q436" s="5">
        <f t="shared" si="55"/>
        <v>12.143177001909146</v>
      </c>
    </row>
    <row r="437" spans="1:17" x14ac:dyDescent="0.2">
      <c r="A437" t="str">
        <f t="shared" si="48"/>
        <v>Washington_2012</v>
      </c>
      <c r="B437" t="s">
        <v>53</v>
      </c>
      <c r="C437">
        <v>2012</v>
      </c>
      <c r="D437" s="3">
        <v>6763880</v>
      </c>
      <c r="E437" s="3">
        <v>5924506.1110000014</v>
      </c>
      <c r="F437" s="3">
        <v>841912.96900000004</v>
      </c>
      <c r="G437" s="3">
        <v>521</v>
      </c>
      <c r="H437" s="3">
        <v>0</v>
      </c>
      <c r="I437" s="3">
        <v>49.69</v>
      </c>
      <c r="J437" s="3">
        <v>34.364999999999995</v>
      </c>
      <c r="K437" s="3">
        <f t="shared" si="49"/>
        <v>521</v>
      </c>
      <c r="L437" s="5">
        <f t="shared" si="50"/>
        <v>0</v>
      </c>
      <c r="M437" s="5">
        <f t="shared" si="51"/>
        <v>61.882880913312071</v>
      </c>
      <c r="N437" s="5">
        <f t="shared" si="52"/>
        <v>7.702679527135313</v>
      </c>
      <c r="O437" s="5">
        <f t="shared" si="53"/>
        <v>7.702679527135313</v>
      </c>
      <c r="P437" s="5">
        <f t="shared" si="54"/>
        <v>87.590349193066714</v>
      </c>
      <c r="Q437" s="5">
        <f t="shared" si="55"/>
        <v>12.447189616019209</v>
      </c>
    </row>
    <row r="438" spans="1:17" x14ac:dyDescent="0.2">
      <c r="A438" t="str">
        <f t="shared" si="48"/>
        <v>Washington_2013</v>
      </c>
      <c r="B438" t="s">
        <v>53</v>
      </c>
      <c r="C438">
        <v>2013</v>
      </c>
      <c r="D438" s="3">
        <v>6780347</v>
      </c>
      <c r="E438" s="3">
        <v>5915486.4440000001</v>
      </c>
      <c r="F438" s="3">
        <v>862116.53399999999</v>
      </c>
      <c r="G438" s="3">
        <v>596</v>
      </c>
      <c r="H438" s="3">
        <v>10</v>
      </c>
      <c r="I438" s="3">
        <v>44.772727272727266</v>
      </c>
      <c r="J438" s="3">
        <v>35.805</v>
      </c>
      <c r="K438" s="3">
        <f t="shared" si="49"/>
        <v>606</v>
      </c>
      <c r="L438" s="5">
        <f t="shared" si="50"/>
        <v>0.16904780519179227</v>
      </c>
      <c r="M438" s="5">
        <f t="shared" si="51"/>
        <v>69.1321853247278</v>
      </c>
      <c r="N438" s="5">
        <f t="shared" si="52"/>
        <v>8.9375956717259459</v>
      </c>
      <c r="O438" s="5">
        <f t="shared" si="53"/>
        <v>8.9375956717259459</v>
      </c>
      <c r="P438" s="5">
        <f t="shared" si="54"/>
        <v>87.244597422521295</v>
      </c>
      <c r="Q438" s="5">
        <f t="shared" si="55"/>
        <v>12.714932347857713</v>
      </c>
    </row>
    <row r="439" spans="1:17" x14ac:dyDescent="0.2">
      <c r="A439" t="str">
        <f t="shared" si="48"/>
        <v>Washington_2014</v>
      </c>
      <c r="B439" t="s">
        <v>53</v>
      </c>
      <c r="C439">
        <v>2014</v>
      </c>
      <c r="D439" s="3">
        <v>6936198</v>
      </c>
      <c r="E439" s="3">
        <v>6020208.5029999986</v>
      </c>
      <c r="F439" s="3">
        <v>913309.57799999998</v>
      </c>
      <c r="G439" s="3">
        <v>509</v>
      </c>
      <c r="H439" s="3">
        <v>55</v>
      </c>
      <c r="I439" s="3">
        <v>50.220000000000006</v>
      </c>
      <c r="J439" s="3">
        <v>33.663636363636357</v>
      </c>
      <c r="K439" s="3">
        <f t="shared" si="49"/>
        <v>564</v>
      </c>
      <c r="L439" s="5">
        <f t="shared" si="50"/>
        <v>0.9135896202364473</v>
      </c>
      <c r="M439" s="5">
        <f t="shared" si="51"/>
        <v>55.731376551927497</v>
      </c>
      <c r="N439" s="5">
        <f t="shared" si="52"/>
        <v>8.1312557686502025</v>
      </c>
      <c r="O439" s="5">
        <f t="shared" si="53"/>
        <v>8.1312557686502025</v>
      </c>
      <c r="P439" s="5">
        <f t="shared" si="54"/>
        <v>86.794069359034992</v>
      </c>
      <c r="Q439" s="5">
        <f t="shared" si="55"/>
        <v>13.167293926730464</v>
      </c>
    </row>
    <row r="440" spans="1:17" x14ac:dyDescent="0.2">
      <c r="A440" t="str">
        <f t="shared" si="48"/>
        <v>Washington_2015</v>
      </c>
      <c r="B440" t="s">
        <v>53</v>
      </c>
      <c r="C440">
        <v>2015</v>
      </c>
      <c r="D440" s="3">
        <v>6946663</v>
      </c>
      <c r="E440" s="3">
        <v>6008148.0289999992</v>
      </c>
      <c r="F440" s="3">
        <v>937088.83899999992</v>
      </c>
      <c r="G440" s="3">
        <v>671</v>
      </c>
      <c r="H440" s="3">
        <v>0</v>
      </c>
      <c r="I440" s="3">
        <v>50.89</v>
      </c>
      <c r="J440" s="3">
        <v>34.938095238095237</v>
      </c>
      <c r="K440" s="3">
        <f t="shared" si="49"/>
        <v>671</v>
      </c>
      <c r="L440" s="5">
        <f t="shared" si="50"/>
        <v>0</v>
      </c>
      <c r="M440" s="5">
        <f t="shared" si="51"/>
        <v>71.604737147018781</v>
      </c>
      <c r="N440" s="5">
        <f t="shared" si="52"/>
        <v>9.659314119599582</v>
      </c>
      <c r="O440" s="5">
        <f t="shared" si="53"/>
        <v>9.659314119599582</v>
      </c>
      <c r="P440" s="5">
        <f t="shared" si="54"/>
        <v>86.489700579976301</v>
      </c>
      <c r="Q440" s="5">
        <f t="shared" si="55"/>
        <v>13.489769677901462</v>
      </c>
    </row>
    <row r="441" spans="1:17" x14ac:dyDescent="0.2">
      <c r="A441" t="str">
        <f t="shared" si="48"/>
        <v>Washington_2016</v>
      </c>
      <c r="B441" t="s">
        <v>53</v>
      </c>
      <c r="C441">
        <v>2016</v>
      </c>
      <c r="D441" s="3">
        <v>7002722</v>
      </c>
      <c r="E441" s="3">
        <v>6028936.4990000008</v>
      </c>
      <c r="F441" s="3">
        <v>973904.4659999999</v>
      </c>
      <c r="G441" s="3">
        <v>604</v>
      </c>
      <c r="H441" s="3">
        <v>39</v>
      </c>
      <c r="I441" s="3">
        <v>49.980000000000004</v>
      </c>
      <c r="J441" s="3">
        <v>34.37619047619048</v>
      </c>
      <c r="K441" s="3">
        <f t="shared" si="49"/>
        <v>643</v>
      </c>
      <c r="L441" s="5">
        <f t="shared" si="50"/>
        <v>0.64688025834189489</v>
      </c>
      <c r="M441" s="5">
        <f t="shared" si="51"/>
        <v>62.018403353332616</v>
      </c>
      <c r="N441" s="5">
        <f t="shared" si="52"/>
        <v>9.1821437435328725</v>
      </c>
      <c r="O441" s="5">
        <f t="shared" si="53"/>
        <v>9.1821437435328725</v>
      </c>
      <c r="P441" s="5">
        <f t="shared" si="54"/>
        <v>86.094185932270349</v>
      </c>
      <c r="Q441" s="5">
        <f t="shared" si="55"/>
        <v>13.907512907123829</v>
      </c>
    </row>
    <row r="442" spans="1:17" x14ac:dyDescent="0.2">
      <c r="A442" t="str">
        <f t="shared" si="48"/>
        <v>Washington_2017</v>
      </c>
      <c r="B442" t="s">
        <v>53</v>
      </c>
      <c r="C442">
        <v>2017</v>
      </c>
      <c r="D442" s="3">
        <v>7100074</v>
      </c>
      <c r="E442" s="3">
        <v>6081809</v>
      </c>
      <c r="F442" s="3">
        <v>1018265</v>
      </c>
      <c r="G442" s="3">
        <v>837</v>
      </c>
      <c r="H442" s="3">
        <v>52</v>
      </c>
      <c r="I442" s="3">
        <v>49.159999999999989</v>
      </c>
      <c r="J442" s="3">
        <v>33.904545454545456</v>
      </c>
      <c r="K442" s="3">
        <f t="shared" si="49"/>
        <v>889</v>
      </c>
      <c r="L442" s="5">
        <f t="shared" si="50"/>
        <v>0.85500876466196163</v>
      </c>
      <c r="M442" s="5">
        <f t="shared" si="51"/>
        <v>82.198641807388057</v>
      </c>
      <c r="N442" s="5">
        <f t="shared" si="52"/>
        <v>12.520996260038979</v>
      </c>
      <c r="O442" s="5">
        <f t="shared" si="53"/>
        <v>12.520996260038979</v>
      </c>
      <c r="P442" s="5">
        <f t="shared" si="54"/>
        <v>85.658388912566267</v>
      </c>
      <c r="Q442" s="5">
        <f t="shared" si="55"/>
        <v>14.341611087433737</v>
      </c>
    </row>
    <row r="443" spans="1:17" x14ac:dyDescent="0.2">
      <c r="A443" t="str">
        <f t="shared" si="48"/>
        <v>West Virginia_2009</v>
      </c>
      <c r="B443" t="s">
        <v>54</v>
      </c>
      <c r="C443">
        <v>2009</v>
      </c>
      <c r="D443" s="3">
        <v>1771937</v>
      </c>
      <c r="E443" s="3">
        <v>1496621.3</v>
      </c>
      <c r="F443" s="3">
        <v>275638.61000000004</v>
      </c>
      <c r="G443" s="3">
        <v>278</v>
      </c>
      <c r="H443" s="3">
        <v>10</v>
      </c>
      <c r="I443" s="3">
        <v>44.757692307692309</v>
      </c>
      <c r="J443" s="3">
        <v>39.450000000000003</v>
      </c>
      <c r="K443" s="3">
        <f t="shared" si="49"/>
        <v>288</v>
      </c>
      <c r="L443" s="5">
        <f t="shared" si="50"/>
        <v>0.66817170115111957</v>
      </c>
      <c r="M443" s="5">
        <f t="shared" si="51"/>
        <v>100.85669783344211</v>
      </c>
      <c r="N443" s="5">
        <f t="shared" si="52"/>
        <v>16.253399528312801</v>
      </c>
      <c r="O443" s="5">
        <f t="shared" si="53"/>
        <v>16.253399528312801</v>
      </c>
      <c r="P443" s="5">
        <f t="shared" si="54"/>
        <v>84.462444206537825</v>
      </c>
      <c r="Q443" s="5">
        <f t="shared" si="55"/>
        <v>15.555779353329156</v>
      </c>
    </row>
    <row r="444" spans="1:17" x14ac:dyDescent="0.2">
      <c r="A444" t="str">
        <f t="shared" si="48"/>
        <v>West Virginia_2010</v>
      </c>
      <c r="B444" t="s">
        <v>54</v>
      </c>
      <c r="C444">
        <v>2010</v>
      </c>
      <c r="D444" s="3">
        <v>1881165</v>
      </c>
      <c r="E444" s="3">
        <v>1584657.3500000006</v>
      </c>
      <c r="F444" s="3">
        <v>296625.74300000013</v>
      </c>
      <c r="G444" s="3">
        <v>294</v>
      </c>
      <c r="H444" s="3">
        <v>0</v>
      </c>
      <c r="I444" s="3">
        <v>61.422222222222231</v>
      </c>
      <c r="J444" s="3">
        <v>36.572222222222223</v>
      </c>
      <c r="K444" s="3">
        <f t="shared" si="49"/>
        <v>294</v>
      </c>
      <c r="L444" s="5">
        <f t="shared" si="50"/>
        <v>0</v>
      </c>
      <c r="M444" s="5">
        <f t="shared" si="51"/>
        <v>99.114795980468855</v>
      </c>
      <c r="N444" s="5">
        <f t="shared" si="52"/>
        <v>15.628613120061239</v>
      </c>
      <c r="O444" s="5">
        <f t="shared" si="53"/>
        <v>15.628613120061239</v>
      </c>
      <c r="P444" s="5">
        <f t="shared" si="54"/>
        <v>84.23808384697783</v>
      </c>
      <c r="Q444" s="5">
        <f t="shared" si="55"/>
        <v>15.768193805434406</v>
      </c>
    </row>
    <row r="445" spans="1:17" x14ac:dyDescent="0.2">
      <c r="A445" t="str">
        <f t="shared" si="48"/>
        <v>West Virginia_2011</v>
      </c>
      <c r="B445" t="s">
        <v>54</v>
      </c>
      <c r="C445">
        <v>2011</v>
      </c>
      <c r="D445" s="3">
        <v>1814205</v>
      </c>
      <c r="E445" s="3">
        <v>1523606.7690000006</v>
      </c>
      <c r="F445" s="3">
        <v>289754.25200000004</v>
      </c>
      <c r="G445" s="3">
        <v>248</v>
      </c>
      <c r="H445" s="3">
        <v>0</v>
      </c>
      <c r="I445" s="3">
        <v>62.755555555555553</v>
      </c>
      <c r="J445" s="3">
        <v>35.642105263157895</v>
      </c>
      <c r="K445" s="3">
        <f t="shared" si="49"/>
        <v>248</v>
      </c>
      <c r="L445" s="5">
        <f t="shared" si="50"/>
        <v>0</v>
      </c>
      <c r="M445" s="5">
        <f t="shared" si="51"/>
        <v>85.589770741310801</v>
      </c>
      <c r="N445" s="5">
        <f t="shared" si="52"/>
        <v>13.669899487654371</v>
      </c>
      <c r="O445" s="5">
        <f t="shared" si="53"/>
        <v>13.669899487654371</v>
      </c>
      <c r="P445" s="5">
        <f t="shared" si="54"/>
        <v>83.98206206024129</v>
      </c>
      <c r="Q445" s="5">
        <f t="shared" si="55"/>
        <v>15.971417342582567</v>
      </c>
    </row>
    <row r="446" spans="1:17" x14ac:dyDescent="0.2">
      <c r="A446" t="str">
        <f t="shared" si="48"/>
        <v>West Virginia_2012</v>
      </c>
      <c r="B446" t="s">
        <v>54</v>
      </c>
      <c r="C446">
        <v>2012</v>
      </c>
      <c r="D446" s="3">
        <v>1785173</v>
      </c>
      <c r="E446" s="3">
        <v>1500173.5300000003</v>
      </c>
      <c r="F446" s="3">
        <v>284746.22999999986</v>
      </c>
      <c r="G446" s="3">
        <v>268</v>
      </c>
      <c r="H446" s="3">
        <v>0</v>
      </c>
      <c r="I446" s="3">
        <v>55.65</v>
      </c>
      <c r="J446" s="3">
        <v>35.089999999999996</v>
      </c>
      <c r="K446" s="3">
        <f t="shared" si="49"/>
        <v>268</v>
      </c>
      <c r="L446" s="5">
        <f t="shared" si="50"/>
        <v>0</v>
      </c>
      <c r="M446" s="5">
        <f t="shared" si="51"/>
        <v>94.118893163221202</v>
      </c>
      <c r="N446" s="5">
        <f t="shared" si="52"/>
        <v>15.012550604339188</v>
      </c>
      <c r="O446" s="5">
        <f t="shared" si="53"/>
        <v>15.012550604339188</v>
      </c>
      <c r="P446" s="5">
        <f t="shared" si="54"/>
        <v>84.035190426922227</v>
      </c>
      <c r="Q446" s="5">
        <f t="shared" si="55"/>
        <v>15.95062383309628</v>
      </c>
    </row>
    <row r="447" spans="1:17" x14ac:dyDescent="0.2">
      <c r="A447" t="str">
        <f t="shared" si="48"/>
        <v>West Virginia_2013</v>
      </c>
      <c r="B447" t="s">
        <v>54</v>
      </c>
      <c r="C447">
        <v>2013</v>
      </c>
      <c r="D447" s="3">
        <v>1867261</v>
      </c>
      <c r="E447" s="3">
        <v>1561995.4800000007</v>
      </c>
      <c r="F447" s="3">
        <v>304333.20099999994</v>
      </c>
      <c r="G447" s="3">
        <v>324</v>
      </c>
      <c r="H447" s="3">
        <v>0</v>
      </c>
      <c r="I447" s="3">
        <v>63.944444444444443</v>
      </c>
      <c r="J447" s="3">
        <v>37.045000000000002</v>
      </c>
      <c r="K447" s="3">
        <f t="shared" si="49"/>
        <v>324</v>
      </c>
      <c r="L447" s="5">
        <f t="shared" si="50"/>
        <v>0</v>
      </c>
      <c r="M447" s="5">
        <f t="shared" si="51"/>
        <v>106.46225877931737</v>
      </c>
      <c r="N447" s="5">
        <f t="shared" si="52"/>
        <v>17.351618225839879</v>
      </c>
      <c r="O447" s="5">
        <f t="shared" si="53"/>
        <v>17.351618225839879</v>
      </c>
      <c r="P447" s="5">
        <f t="shared" si="54"/>
        <v>83.651695183480015</v>
      </c>
      <c r="Q447" s="5">
        <f t="shared" si="55"/>
        <v>16.298375053085774</v>
      </c>
    </row>
    <row r="448" spans="1:17" x14ac:dyDescent="0.2">
      <c r="A448" t="str">
        <f t="shared" si="48"/>
        <v>West Virginia_2014</v>
      </c>
      <c r="B448" t="s">
        <v>54</v>
      </c>
      <c r="C448">
        <v>2014</v>
      </c>
      <c r="D448" s="3">
        <v>1921821</v>
      </c>
      <c r="E448" s="3">
        <v>1596866.8770000003</v>
      </c>
      <c r="F448" s="3">
        <v>324603.8189999999</v>
      </c>
      <c r="G448" s="3">
        <v>263</v>
      </c>
      <c r="H448" s="3">
        <v>23</v>
      </c>
      <c r="I448" s="3">
        <v>56.259999999999991</v>
      </c>
      <c r="J448" s="3">
        <v>38.745000000000012</v>
      </c>
      <c r="K448" s="3">
        <f t="shared" si="49"/>
        <v>286</v>
      </c>
      <c r="L448" s="5">
        <f t="shared" si="50"/>
        <v>1.4403204381826498</v>
      </c>
      <c r="M448" s="5">
        <f t="shared" si="51"/>
        <v>81.021844046757835</v>
      </c>
      <c r="N448" s="5">
        <f t="shared" si="52"/>
        <v>14.881718953013834</v>
      </c>
      <c r="O448" s="5">
        <f t="shared" si="53"/>
        <v>14.881718953013834</v>
      </c>
      <c r="P448" s="5">
        <f t="shared" si="54"/>
        <v>83.091342898219992</v>
      </c>
      <c r="Q448" s="5">
        <f t="shared" si="55"/>
        <v>16.890429389625773</v>
      </c>
    </row>
    <row r="449" spans="1:17" x14ac:dyDescent="0.2">
      <c r="A449" t="str">
        <f t="shared" si="48"/>
        <v>West Virginia_2015</v>
      </c>
      <c r="B449" t="s">
        <v>54</v>
      </c>
      <c r="C449">
        <v>2015</v>
      </c>
      <c r="D449" s="3">
        <v>1676448</v>
      </c>
      <c r="E449" s="3">
        <v>1391975.5090000003</v>
      </c>
      <c r="F449" s="3">
        <v>284960.43799999997</v>
      </c>
      <c r="G449" s="3">
        <v>345</v>
      </c>
      <c r="H449" s="3">
        <v>0</v>
      </c>
      <c r="I449" s="3">
        <v>54.9</v>
      </c>
      <c r="J449" s="3">
        <v>36.025000000000006</v>
      </c>
      <c r="K449" s="3">
        <f t="shared" si="49"/>
        <v>345</v>
      </c>
      <c r="L449" s="5">
        <f t="shared" si="50"/>
        <v>0</v>
      </c>
      <c r="M449" s="5">
        <f t="shared" si="51"/>
        <v>121.06943771612256</v>
      </c>
      <c r="N449" s="5">
        <f t="shared" si="52"/>
        <v>20.579224646395236</v>
      </c>
      <c r="O449" s="5">
        <f t="shared" si="53"/>
        <v>20.579224646395236</v>
      </c>
      <c r="P449" s="5">
        <f t="shared" si="54"/>
        <v>83.031236817366263</v>
      </c>
      <c r="Q449" s="5">
        <f t="shared" si="55"/>
        <v>16.997869185325161</v>
      </c>
    </row>
    <row r="450" spans="1:17" x14ac:dyDescent="0.2">
      <c r="A450" t="str">
        <f t="shared" si="48"/>
        <v>West Virginia_2016</v>
      </c>
      <c r="B450" t="s">
        <v>54</v>
      </c>
      <c r="C450">
        <v>2016</v>
      </c>
      <c r="D450" s="3">
        <v>1824017</v>
      </c>
      <c r="E450" s="3">
        <v>1504637.09</v>
      </c>
      <c r="F450" s="3">
        <v>319091.33300000004</v>
      </c>
      <c r="G450" s="3">
        <v>207</v>
      </c>
      <c r="H450" s="3">
        <v>0</v>
      </c>
      <c r="I450" s="3">
        <v>53.379999999999995</v>
      </c>
      <c r="J450" s="3">
        <v>33.814285714285717</v>
      </c>
      <c r="K450" s="3">
        <f t="shared" si="49"/>
        <v>207</v>
      </c>
      <c r="L450" s="5">
        <f t="shared" si="50"/>
        <v>0</v>
      </c>
      <c r="M450" s="5">
        <f t="shared" si="51"/>
        <v>64.871708690376735</v>
      </c>
      <c r="N450" s="5">
        <f t="shared" si="52"/>
        <v>11.348578439784278</v>
      </c>
      <c r="O450" s="5">
        <f t="shared" si="53"/>
        <v>11.348578439784278</v>
      </c>
      <c r="P450" s="5">
        <f t="shared" si="54"/>
        <v>82.49029970663652</v>
      </c>
      <c r="Q450" s="5">
        <f t="shared" si="55"/>
        <v>17.493879333361477</v>
      </c>
    </row>
    <row r="451" spans="1:17" x14ac:dyDescent="0.2">
      <c r="A451" t="str">
        <f t="shared" ref="A451:A469" si="56">B451&amp;"_"&amp;C451</f>
        <v>West Virginia_2017</v>
      </c>
      <c r="B451" t="s">
        <v>54</v>
      </c>
      <c r="C451">
        <v>2017</v>
      </c>
      <c r="D451" s="3">
        <v>1777619</v>
      </c>
      <c r="E451" s="3">
        <v>1454121</v>
      </c>
      <c r="F451" s="3">
        <v>323498</v>
      </c>
      <c r="G451" s="3">
        <v>294</v>
      </c>
      <c r="H451" s="3">
        <v>0</v>
      </c>
      <c r="I451" s="3">
        <v>46.900000000000006</v>
      </c>
      <c r="J451" s="3">
        <v>32.576190476190476</v>
      </c>
      <c r="K451" s="3">
        <f t="shared" ref="K451:K469" si="57">G451+H451</f>
        <v>294</v>
      </c>
      <c r="L451" s="5">
        <f t="shared" ref="L451:L469" si="58">IF(E451=0,"",H451/E451*100000)</f>
        <v>0</v>
      </c>
      <c r="M451" s="5">
        <f t="shared" ref="M451:M469" si="59">IF(F451=0,"",G451/F451*100000)</f>
        <v>90.88155104513784</v>
      </c>
      <c r="N451" s="5">
        <f t="shared" ref="N451:N469" si="60">IF(D451=0,"",K451/D451*100000)</f>
        <v>16.538977137395584</v>
      </c>
      <c r="O451" s="5">
        <f t="shared" ref="O451:O469" si="61">N451</f>
        <v>16.538977137395584</v>
      </c>
      <c r="P451" s="5">
        <f t="shared" ref="P451:P469" si="62">IF(D451=0,"",E451/D451*100)</f>
        <v>81.801612156485731</v>
      </c>
      <c r="Q451" s="5">
        <f t="shared" ref="Q451:Q469" si="63">IF(D451=0,"",F451/D451*100)</f>
        <v>18.198387843514276</v>
      </c>
    </row>
    <row r="452" spans="1:17" x14ac:dyDescent="0.2">
      <c r="A452" t="str">
        <f t="shared" si="56"/>
        <v>Wisconsin_2009</v>
      </c>
      <c r="B452" t="s">
        <v>55</v>
      </c>
      <c r="C452">
        <v>2009</v>
      </c>
      <c r="D452" s="3">
        <v>5599420</v>
      </c>
      <c r="E452" s="3">
        <v>4861613.8310000012</v>
      </c>
      <c r="F452" s="3">
        <v>739565.81499999971</v>
      </c>
      <c r="G452" s="3">
        <v>773</v>
      </c>
      <c r="H452" s="3">
        <v>22</v>
      </c>
      <c r="I452" s="3">
        <v>47.580769230769221</v>
      </c>
      <c r="J452" s="3">
        <v>34.85</v>
      </c>
      <c r="K452" s="3">
        <f t="shared" si="57"/>
        <v>795</v>
      </c>
      <c r="L452" s="5">
        <f t="shared" si="58"/>
        <v>0.45252462998433479</v>
      </c>
      <c r="M452" s="5">
        <f t="shared" si="59"/>
        <v>104.52078561797779</v>
      </c>
      <c r="N452" s="5">
        <f t="shared" si="60"/>
        <v>14.197899068117771</v>
      </c>
      <c r="O452" s="5">
        <f t="shared" si="61"/>
        <v>14.197899068117771</v>
      </c>
      <c r="P452" s="5">
        <f t="shared" si="62"/>
        <v>86.823525132960228</v>
      </c>
      <c r="Q452" s="5">
        <f t="shared" si="63"/>
        <v>13.207900371824218</v>
      </c>
    </row>
    <row r="453" spans="1:17" x14ac:dyDescent="0.2">
      <c r="A453" t="str">
        <f t="shared" si="56"/>
        <v>Wisconsin_2010</v>
      </c>
      <c r="B453" t="s">
        <v>55</v>
      </c>
      <c r="C453">
        <v>2010</v>
      </c>
      <c r="D453" s="3">
        <v>5599318</v>
      </c>
      <c r="E453" s="3">
        <v>4854590.2450000001</v>
      </c>
      <c r="F453" s="3">
        <v>745451.95900000015</v>
      </c>
      <c r="G453" s="3">
        <v>726</v>
      </c>
      <c r="H453" s="3">
        <v>0</v>
      </c>
      <c r="I453" s="3">
        <v>54.133333333333333</v>
      </c>
      <c r="J453" s="3">
        <v>33.868421052631582</v>
      </c>
      <c r="K453" s="3">
        <f t="shared" si="57"/>
        <v>726</v>
      </c>
      <c r="L453" s="5">
        <f t="shared" si="58"/>
        <v>0</v>
      </c>
      <c r="M453" s="5">
        <f t="shared" si="59"/>
        <v>97.390581812127195</v>
      </c>
      <c r="N453" s="5">
        <f t="shared" si="60"/>
        <v>12.965864771388231</v>
      </c>
      <c r="O453" s="5">
        <f t="shared" si="61"/>
        <v>12.965864771388231</v>
      </c>
      <c r="P453" s="5">
        <f t="shared" si="62"/>
        <v>86.699670299132862</v>
      </c>
      <c r="Q453" s="5">
        <f t="shared" si="63"/>
        <v>13.313263490303642</v>
      </c>
    </row>
    <row r="454" spans="1:17" x14ac:dyDescent="0.2">
      <c r="A454" t="str">
        <f t="shared" si="56"/>
        <v>Wisconsin_2011</v>
      </c>
      <c r="B454" t="s">
        <v>55</v>
      </c>
      <c r="C454">
        <v>2011</v>
      </c>
      <c r="D454" s="3">
        <v>5449940</v>
      </c>
      <c r="E454" s="3">
        <v>4716640.6970000006</v>
      </c>
      <c r="F454" s="3">
        <v>733838.22600000002</v>
      </c>
      <c r="G454" s="3">
        <v>806</v>
      </c>
      <c r="H454" s="3">
        <v>0</v>
      </c>
      <c r="I454" s="3">
        <v>46.011111111111113</v>
      </c>
      <c r="J454" s="3">
        <v>33.5</v>
      </c>
      <c r="K454" s="3">
        <f t="shared" si="57"/>
        <v>806</v>
      </c>
      <c r="L454" s="5">
        <f t="shared" si="58"/>
        <v>0</v>
      </c>
      <c r="M454" s="5">
        <f t="shared" si="59"/>
        <v>109.8334716621862</v>
      </c>
      <c r="N454" s="5">
        <f t="shared" si="60"/>
        <v>14.789153642058444</v>
      </c>
      <c r="O454" s="5">
        <f t="shared" si="61"/>
        <v>14.789153642058444</v>
      </c>
      <c r="P454" s="5">
        <f t="shared" si="62"/>
        <v>86.544818786995833</v>
      </c>
      <c r="Q454" s="5">
        <f t="shared" si="63"/>
        <v>13.465069817282394</v>
      </c>
    </row>
    <row r="455" spans="1:17" x14ac:dyDescent="0.2">
      <c r="A455" t="str">
        <f t="shared" si="56"/>
        <v>Wisconsin_2012</v>
      </c>
      <c r="B455" t="s">
        <v>55</v>
      </c>
      <c r="C455">
        <v>2012</v>
      </c>
      <c r="D455" s="3">
        <v>5972135</v>
      </c>
      <c r="E455" s="3">
        <v>5148452.5939999996</v>
      </c>
      <c r="F455" s="3">
        <v>822207.87099999981</v>
      </c>
      <c r="G455" s="3">
        <v>840</v>
      </c>
      <c r="H455" s="3">
        <v>0</v>
      </c>
      <c r="I455" s="3">
        <v>46.611111111111114</v>
      </c>
      <c r="J455" s="3">
        <v>34.021052631578954</v>
      </c>
      <c r="K455" s="3">
        <f t="shared" si="57"/>
        <v>840</v>
      </c>
      <c r="L455" s="5">
        <f t="shared" si="58"/>
        <v>0</v>
      </c>
      <c r="M455" s="5">
        <f t="shared" si="59"/>
        <v>102.16394535099266</v>
      </c>
      <c r="N455" s="5">
        <f t="shared" si="60"/>
        <v>14.065321698186661</v>
      </c>
      <c r="O455" s="5">
        <f t="shared" si="61"/>
        <v>14.065321698186661</v>
      </c>
      <c r="P455" s="5">
        <f t="shared" si="62"/>
        <v>86.207907121992378</v>
      </c>
      <c r="Q455" s="5">
        <f t="shared" si="63"/>
        <v>13.767402629043044</v>
      </c>
    </row>
    <row r="456" spans="1:17" x14ac:dyDescent="0.2">
      <c r="A456" t="str">
        <f t="shared" si="56"/>
        <v>Wisconsin_2013</v>
      </c>
      <c r="B456" t="s">
        <v>55</v>
      </c>
      <c r="C456">
        <v>2013</v>
      </c>
      <c r="D456" s="3">
        <v>5597184</v>
      </c>
      <c r="E456" s="3">
        <v>4820598.8480000012</v>
      </c>
      <c r="F456" s="3">
        <v>778259.4090000001</v>
      </c>
      <c r="G456" s="3">
        <v>940</v>
      </c>
      <c r="H456" s="3">
        <v>24</v>
      </c>
      <c r="I456" s="3">
        <v>47.177777777777777</v>
      </c>
      <c r="J456" s="3">
        <v>33.809999999999995</v>
      </c>
      <c r="K456" s="3">
        <f t="shared" si="57"/>
        <v>964</v>
      </c>
      <c r="L456" s="5">
        <f t="shared" si="58"/>
        <v>0.49786345549074806</v>
      </c>
      <c r="M456" s="5">
        <f t="shared" si="59"/>
        <v>120.78234957773572</v>
      </c>
      <c r="N456" s="5">
        <f t="shared" si="60"/>
        <v>17.222946395901939</v>
      </c>
      <c r="O456" s="5">
        <f t="shared" si="61"/>
        <v>17.222946395901939</v>
      </c>
      <c r="P456" s="5">
        <f t="shared" si="62"/>
        <v>86.125431073911471</v>
      </c>
      <c r="Q456" s="5">
        <f t="shared" si="63"/>
        <v>13.904481414225442</v>
      </c>
    </row>
    <row r="457" spans="1:17" x14ac:dyDescent="0.2">
      <c r="A457" t="str">
        <f t="shared" si="56"/>
        <v>Wisconsin_2014</v>
      </c>
      <c r="B457" t="s">
        <v>55</v>
      </c>
      <c r="C457">
        <v>2014</v>
      </c>
      <c r="D457" s="3">
        <v>5678734</v>
      </c>
      <c r="E457" s="3">
        <v>4866136.216</v>
      </c>
      <c r="F457" s="3">
        <v>814281.80400000012</v>
      </c>
      <c r="G457" s="3">
        <v>797</v>
      </c>
      <c r="H457" s="3">
        <v>35</v>
      </c>
      <c r="I457" s="3">
        <v>47.86666666666666</v>
      </c>
      <c r="J457" s="3">
        <v>35.605000000000004</v>
      </c>
      <c r="K457" s="3">
        <f t="shared" si="57"/>
        <v>832</v>
      </c>
      <c r="L457" s="5">
        <f t="shared" si="58"/>
        <v>0.71925647878328935</v>
      </c>
      <c r="M457" s="5">
        <f t="shared" si="59"/>
        <v>97.877663001296781</v>
      </c>
      <c r="N457" s="5">
        <f t="shared" si="60"/>
        <v>14.65115288020182</v>
      </c>
      <c r="O457" s="5">
        <f t="shared" si="61"/>
        <v>14.65115288020182</v>
      </c>
      <c r="P457" s="5">
        <f t="shared" si="62"/>
        <v>85.690511582335077</v>
      </c>
      <c r="Q457" s="5">
        <f t="shared" si="63"/>
        <v>14.33914326679151</v>
      </c>
    </row>
    <row r="458" spans="1:17" x14ac:dyDescent="0.2">
      <c r="A458" t="str">
        <f t="shared" si="56"/>
        <v>Wisconsin_2015</v>
      </c>
      <c r="B458" t="s">
        <v>55</v>
      </c>
      <c r="C458">
        <v>2015</v>
      </c>
      <c r="D458" s="3">
        <v>5702115</v>
      </c>
      <c r="E458" s="3">
        <v>4865067.37</v>
      </c>
      <c r="F458" s="3">
        <v>839462.97599999979</v>
      </c>
      <c r="G458" s="3">
        <v>885</v>
      </c>
      <c r="H458" s="3">
        <v>0</v>
      </c>
      <c r="I458" s="3">
        <v>41.766666666666666</v>
      </c>
      <c r="J458" s="3">
        <v>36.678947368421049</v>
      </c>
      <c r="K458" s="3">
        <f t="shared" si="57"/>
        <v>885</v>
      </c>
      <c r="L458" s="5">
        <f t="shared" si="58"/>
        <v>0</v>
      </c>
      <c r="M458" s="5">
        <f t="shared" si="59"/>
        <v>105.42454227308296</v>
      </c>
      <c r="N458" s="5">
        <f t="shared" si="60"/>
        <v>15.520556846012401</v>
      </c>
      <c r="O458" s="5">
        <f t="shared" si="61"/>
        <v>15.520556846012401</v>
      </c>
      <c r="P458" s="5">
        <f t="shared" si="62"/>
        <v>85.320400763576316</v>
      </c>
      <c r="Q458" s="5">
        <f t="shared" si="63"/>
        <v>14.721958010317222</v>
      </c>
    </row>
    <row r="459" spans="1:17" x14ac:dyDescent="0.2">
      <c r="A459" t="str">
        <f t="shared" si="56"/>
        <v>Wisconsin_2016</v>
      </c>
      <c r="B459" t="s">
        <v>55</v>
      </c>
      <c r="C459">
        <v>2016</v>
      </c>
      <c r="D459" s="3">
        <v>5693776</v>
      </c>
      <c r="E459" s="3">
        <v>4838087.54</v>
      </c>
      <c r="F459" s="3">
        <v>854782.94599999976</v>
      </c>
      <c r="G459" s="3">
        <v>674</v>
      </c>
      <c r="H459" s="3">
        <v>35</v>
      </c>
      <c r="I459" s="3">
        <v>47.166666666666664</v>
      </c>
      <c r="J459" s="3">
        <v>33.366666666666667</v>
      </c>
      <c r="K459" s="3">
        <f t="shared" si="57"/>
        <v>709</v>
      </c>
      <c r="L459" s="5">
        <f t="shared" si="58"/>
        <v>0.72342634792424609</v>
      </c>
      <c r="M459" s="5">
        <f t="shared" si="59"/>
        <v>78.850426667262994</v>
      </c>
      <c r="N459" s="5">
        <f t="shared" si="60"/>
        <v>12.452193412596491</v>
      </c>
      <c r="O459" s="5">
        <f t="shared" si="61"/>
        <v>12.452193412596491</v>
      </c>
      <c r="P459" s="5">
        <f t="shared" si="62"/>
        <v>84.971511699792899</v>
      </c>
      <c r="Q459" s="5">
        <f t="shared" si="63"/>
        <v>15.012584724091708</v>
      </c>
    </row>
    <row r="460" spans="1:17" x14ac:dyDescent="0.2">
      <c r="A460" t="str">
        <f t="shared" si="56"/>
        <v>Wisconsin_2017</v>
      </c>
      <c r="B460" t="s">
        <v>55</v>
      </c>
      <c r="C460">
        <v>2017</v>
      </c>
      <c r="D460" s="3">
        <v>5832175</v>
      </c>
      <c r="E460" s="3">
        <v>4923416</v>
      </c>
      <c r="F460" s="3">
        <v>908759</v>
      </c>
      <c r="G460" s="3">
        <v>806</v>
      </c>
      <c r="H460" s="3">
        <v>23</v>
      </c>
      <c r="I460" s="3">
        <v>38.729999999999997</v>
      </c>
      <c r="J460" s="3">
        <v>31.761904761904763</v>
      </c>
      <c r="K460" s="3">
        <f t="shared" si="57"/>
        <v>829</v>
      </c>
      <c r="L460" s="5">
        <f t="shared" si="58"/>
        <v>0.46715532467701287</v>
      </c>
      <c r="M460" s="5">
        <f t="shared" si="59"/>
        <v>88.692381588517975</v>
      </c>
      <c r="N460" s="5">
        <f t="shared" si="60"/>
        <v>14.214251115578664</v>
      </c>
      <c r="O460" s="5">
        <f t="shared" si="61"/>
        <v>14.214251115578664</v>
      </c>
      <c r="P460" s="5">
        <f t="shared" si="62"/>
        <v>84.418180181493184</v>
      </c>
      <c r="Q460" s="5">
        <f t="shared" si="63"/>
        <v>15.581819818506817</v>
      </c>
    </row>
    <row r="461" spans="1:17" x14ac:dyDescent="0.2">
      <c r="A461" t="str">
        <f t="shared" si="56"/>
        <v>Wyoming_2009</v>
      </c>
      <c r="B461" t="s">
        <v>56</v>
      </c>
      <c r="C461">
        <v>2009</v>
      </c>
      <c r="D461" s="3">
        <v>519426</v>
      </c>
      <c r="E461" s="3">
        <v>457102.01399999997</v>
      </c>
      <c r="F461" s="3">
        <v>62485.840000000004</v>
      </c>
      <c r="G461" s="3">
        <v>10</v>
      </c>
      <c r="H461" s="3">
        <v>0</v>
      </c>
      <c r="I461" s="3">
        <v>49.342307692307671</v>
      </c>
      <c r="J461" s="3">
        <v>35.503571428571433</v>
      </c>
      <c r="K461" s="3">
        <f t="shared" si="57"/>
        <v>10</v>
      </c>
      <c r="L461" s="5">
        <f t="shared" si="58"/>
        <v>0</v>
      </c>
      <c r="M461" s="5">
        <f t="shared" si="59"/>
        <v>16.003625781457046</v>
      </c>
      <c r="N461" s="5">
        <f t="shared" si="60"/>
        <v>1.925202049955143</v>
      </c>
      <c r="O461" s="5">
        <f t="shared" si="61"/>
        <v>1.925202049955143</v>
      </c>
      <c r="P461" s="5">
        <f t="shared" si="62"/>
        <v>88.001373439142426</v>
      </c>
      <c r="Q461" s="5">
        <f t="shared" si="63"/>
        <v>12.029786726116907</v>
      </c>
    </row>
    <row r="462" spans="1:17" x14ac:dyDescent="0.2">
      <c r="A462" t="str">
        <f t="shared" si="56"/>
        <v>Wyoming_2010</v>
      </c>
      <c r="B462" t="s">
        <v>56</v>
      </c>
      <c r="C462">
        <v>2010</v>
      </c>
      <c r="D462" s="3">
        <v>600605</v>
      </c>
      <c r="E462" s="3">
        <v>525307.34</v>
      </c>
      <c r="F462" s="3">
        <v>75192.448000000004</v>
      </c>
      <c r="G462" s="3">
        <v>10</v>
      </c>
      <c r="H462" s="3">
        <v>0</v>
      </c>
      <c r="I462" s="3">
        <v>52.222222222222229</v>
      </c>
      <c r="J462" s="3">
        <v>35.955555555555556</v>
      </c>
      <c r="K462" s="3">
        <f t="shared" si="57"/>
        <v>10</v>
      </c>
      <c r="L462" s="5">
        <f t="shared" si="58"/>
        <v>0</v>
      </c>
      <c r="M462" s="5">
        <f t="shared" si="59"/>
        <v>13.29920792045499</v>
      </c>
      <c r="N462" s="5">
        <f t="shared" si="60"/>
        <v>1.664987803964336</v>
      </c>
      <c r="O462" s="5">
        <f t="shared" si="61"/>
        <v>1.664987803964336</v>
      </c>
      <c r="P462" s="5">
        <f t="shared" si="62"/>
        <v>87.463031443294668</v>
      </c>
      <c r="Q462" s="5">
        <f t="shared" si="63"/>
        <v>12.519450887022254</v>
      </c>
    </row>
    <row r="463" spans="1:17" x14ac:dyDescent="0.2">
      <c r="A463" t="str">
        <f t="shared" si="56"/>
        <v>Wyoming_2011</v>
      </c>
      <c r="B463" t="s">
        <v>56</v>
      </c>
      <c r="C463">
        <v>2011</v>
      </c>
      <c r="D463" s="3">
        <v>633559</v>
      </c>
      <c r="E463" s="3">
        <v>557582.93899999978</v>
      </c>
      <c r="F463" s="3">
        <v>76423.271999999983</v>
      </c>
      <c r="G463" s="3">
        <v>22</v>
      </c>
      <c r="H463" s="3">
        <v>0</v>
      </c>
      <c r="I463" s="3">
        <v>44.769999999999996</v>
      </c>
      <c r="J463" s="3">
        <v>31.611111111111118</v>
      </c>
      <c r="K463" s="3">
        <f t="shared" si="57"/>
        <v>22</v>
      </c>
      <c r="L463" s="5">
        <f t="shared" si="58"/>
        <v>0</v>
      </c>
      <c r="M463" s="5">
        <f t="shared" si="59"/>
        <v>28.787042774091123</v>
      </c>
      <c r="N463" s="5">
        <f t="shared" si="60"/>
        <v>3.4724469228595916</v>
      </c>
      <c r="O463" s="5">
        <f t="shared" si="61"/>
        <v>3.4724469228595916</v>
      </c>
      <c r="P463" s="5">
        <f t="shared" si="62"/>
        <v>88.008052762252575</v>
      </c>
      <c r="Q463" s="5">
        <f t="shared" si="63"/>
        <v>12.062534349602796</v>
      </c>
    </row>
    <row r="464" spans="1:17" x14ac:dyDescent="0.2">
      <c r="A464" t="str">
        <f t="shared" si="56"/>
        <v>Wyoming_2012</v>
      </c>
      <c r="B464" t="s">
        <v>56</v>
      </c>
      <c r="C464">
        <v>2012</v>
      </c>
      <c r="D464" s="3">
        <v>717595</v>
      </c>
      <c r="E464" s="3">
        <v>623814.6730000003</v>
      </c>
      <c r="F464" s="3">
        <v>93382.506000000023</v>
      </c>
      <c r="G464" s="3">
        <v>0</v>
      </c>
      <c r="H464" s="3">
        <v>0</v>
      </c>
      <c r="I464" s="3">
        <v>52.24444444444444</v>
      </c>
      <c r="J464" s="3">
        <v>28.914999999999999</v>
      </c>
      <c r="K464" s="3">
        <f t="shared" si="57"/>
        <v>0</v>
      </c>
      <c r="L464" s="5">
        <f t="shared" si="58"/>
        <v>0</v>
      </c>
      <c r="M464" s="5">
        <f t="shared" si="59"/>
        <v>0</v>
      </c>
      <c r="N464" s="5">
        <f t="shared" si="60"/>
        <v>0</v>
      </c>
      <c r="O464" s="5">
        <f t="shared" si="61"/>
        <v>0</v>
      </c>
      <c r="P464" s="5">
        <f t="shared" si="62"/>
        <v>86.931301500149843</v>
      </c>
      <c r="Q464" s="5">
        <f t="shared" si="63"/>
        <v>13.013260404545743</v>
      </c>
    </row>
    <row r="465" spans="1:17" x14ac:dyDescent="0.2">
      <c r="A465" t="str">
        <f t="shared" si="56"/>
        <v>Wyoming_2013</v>
      </c>
      <c r="B465" t="s">
        <v>56</v>
      </c>
      <c r="C465">
        <v>2013</v>
      </c>
      <c r="D465" s="3">
        <v>566391</v>
      </c>
      <c r="E465" s="3">
        <v>493838.82900000009</v>
      </c>
      <c r="F465" s="3">
        <v>73029.857000000004</v>
      </c>
      <c r="G465" s="3">
        <v>12</v>
      </c>
      <c r="H465" s="3">
        <v>0</v>
      </c>
      <c r="I465" s="3">
        <v>52.033333333333339</v>
      </c>
      <c r="J465" s="3">
        <v>28.905263157894733</v>
      </c>
      <c r="K465" s="3">
        <f t="shared" si="57"/>
        <v>12</v>
      </c>
      <c r="L465" s="5">
        <f t="shared" si="58"/>
        <v>0</v>
      </c>
      <c r="M465" s="5">
        <f t="shared" si="59"/>
        <v>16.431635625412767</v>
      </c>
      <c r="N465" s="5">
        <f t="shared" si="60"/>
        <v>2.1186777332266931</v>
      </c>
      <c r="O465" s="5">
        <f t="shared" si="61"/>
        <v>2.1186777332266931</v>
      </c>
      <c r="P465" s="5">
        <f t="shared" si="62"/>
        <v>87.190444233753723</v>
      </c>
      <c r="Q465" s="5">
        <f t="shared" si="63"/>
        <v>12.893894323885796</v>
      </c>
    </row>
    <row r="466" spans="1:17" x14ac:dyDescent="0.2">
      <c r="A466" t="str">
        <f t="shared" si="56"/>
        <v>Wyoming_2014</v>
      </c>
      <c r="B466" t="s">
        <v>56</v>
      </c>
      <c r="C466">
        <v>2014</v>
      </c>
      <c r="D466" s="3">
        <v>654471</v>
      </c>
      <c r="E466" s="3">
        <v>564826.75300000003</v>
      </c>
      <c r="F466" s="3">
        <v>89446.776000000013</v>
      </c>
      <c r="G466" s="3">
        <v>0</v>
      </c>
      <c r="H466" s="3">
        <v>0</v>
      </c>
      <c r="I466" s="3">
        <v>49.733333333333341</v>
      </c>
      <c r="J466" s="3">
        <v>31.484210526315799</v>
      </c>
      <c r="K466" s="3">
        <f t="shared" si="57"/>
        <v>0</v>
      </c>
      <c r="L466" s="5">
        <f t="shared" si="58"/>
        <v>0</v>
      </c>
      <c r="M466" s="5">
        <f t="shared" si="59"/>
        <v>0</v>
      </c>
      <c r="N466" s="5">
        <f t="shared" si="60"/>
        <v>0</v>
      </c>
      <c r="O466" s="5">
        <f t="shared" si="61"/>
        <v>0</v>
      </c>
      <c r="P466" s="5">
        <f t="shared" si="62"/>
        <v>86.30279309549239</v>
      </c>
      <c r="Q466" s="5">
        <f t="shared" si="63"/>
        <v>13.667034291817362</v>
      </c>
    </row>
    <row r="467" spans="1:17" x14ac:dyDescent="0.2">
      <c r="A467" t="str">
        <f t="shared" si="56"/>
        <v>Wyoming_2015</v>
      </c>
      <c r="B467" t="s">
        <v>56</v>
      </c>
      <c r="C467">
        <v>2015</v>
      </c>
      <c r="D467" s="3">
        <v>606146</v>
      </c>
      <c r="E467" s="3">
        <v>524004.95200000005</v>
      </c>
      <c r="F467" s="3">
        <v>82471.878999999986</v>
      </c>
      <c r="G467" s="3">
        <v>0</v>
      </c>
      <c r="H467" s="3">
        <v>0</v>
      </c>
      <c r="I467" s="3">
        <v>46.129999999999995</v>
      </c>
      <c r="J467" s="3">
        <v>29.052631578947373</v>
      </c>
      <c r="K467" s="3">
        <f t="shared" si="57"/>
        <v>0</v>
      </c>
      <c r="L467" s="5">
        <f t="shared" si="58"/>
        <v>0</v>
      </c>
      <c r="M467" s="5">
        <f t="shared" si="59"/>
        <v>0</v>
      </c>
      <c r="N467" s="5">
        <f t="shared" si="60"/>
        <v>0</v>
      </c>
      <c r="O467" s="5">
        <f t="shared" si="61"/>
        <v>0</v>
      </c>
      <c r="P467" s="5">
        <f t="shared" si="62"/>
        <v>86.448636467121787</v>
      </c>
      <c r="Q467" s="5">
        <f t="shared" si="63"/>
        <v>13.605942957637266</v>
      </c>
    </row>
    <row r="468" spans="1:17" x14ac:dyDescent="0.2">
      <c r="A468" t="str">
        <f t="shared" si="56"/>
        <v>Wyoming_2016</v>
      </c>
      <c r="B468" t="s">
        <v>56</v>
      </c>
      <c r="C468">
        <v>2016</v>
      </c>
      <c r="D468" s="3">
        <v>539403</v>
      </c>
      <c r="E468" s="3">
        <v>459544.61900000006</v>
      </c>
      <c r="F468" s="3">
        <v>80060.545000000013</v>
      </c>
      <c r="G468" s="3">
        <v>0</v>
      </c>
      <c r="H468" s="3">
        <v>0</v>
      </c>
      <c r="I468" s="3">
        <v>48.322222222222223</v>
      </c>
      <c r="J468" s="3">
        <v>28.454999999999995</v>
      </c>
      <c r="K468" s="3">
        <f t="shared" si="57"/>
        <v>0</v>
      </c>
      <c r="L468" s="5">
        <f t="shared" si="58"/>
        <v>0</v>
      </c>
      <c r="M468" s="5">
        <f t="shared" si="59"/>
        <v>0</v>
      </c>
      <c r="N468" s="5">
        <f t="shared" si="60"/>
        <v>0</v>
      </c>
      <c r="O468" s="5">
        <f t="shared" si="61"/>
        <v>0</v>
      </c>
      <c r="P468" s="5">
        <f t="shared" si="62"/>
        <v>85.195043223712148</v>
      </c>
      <c r="Q468" s="5">
        <f t="shared" si="63"/>
        <v>14.842435989417933</v>
      </c>
    </row>
    <row r="469" spans="1:17" x14ac:dyDescent="0.2">
      <c r="A469" t="str">
        <f t="shared" si="56"/>
        <v>Wyoming_2017</v>
      </c>
      <c r="B469" t="s">
        <v>56</v>
      </c>
      <c r="C469">
        <v>2017</v>
      </c>
      <c r="D469" s="3">
        <v>628165</v>
      </c>
      <c r="E469" s="3">
        <v>535415</v>
      </c>
      <c r="F469" s="3">
        <v>92750</v>
      </c>
      <c r="G469" s="3">
        <v>22</v>
      </c>
      <c r="H469" s="3">
        <v>0</v>
      </c>
      <c r="I469" s="3">
        <v>45.266666666666673</v>
      </c>
      <c r="J469" s="3">
        <v>27.689473684210522</v>
      </c>
      <c r="K469" s="3">
        <f t="shared" si="57"/>
        <v>22</v>
      </c>
      <c r="L469" s="5">
        <f t="shared" si="58"/>
        <v>0</v>
      </c>
      <c r="M469" s="5">
        <f t="shared" si="59"/>
        <v>23.71967654986523</v>
      </c>
      <c r="N469" s="5">
        <f t="shared" si="60"/>
        <v>3.5022645324078865</v>
      </c>
      <c r="O469" s="5">
        <f t="shared" si="61"/>
        <v>3.5022645324078865</v>
      </c>
      <c r="P469" s="5">
        <f t="shared" si="62"/>
        <v>85.234771119053107</v>
      </c>
      <c r="Q469" s="5">
        <f t="shared" si="63"/>
        <v>14.765228880946884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s1632</dc:creator>
  <cp:lastModifiedBy>s1632</cp:lastModifiedBy>
  <dcterms:created xsi:type="dcterms:W3CDTF">2026-01-31T22:42:32Z</dcterms:created>
  <dcterms:modified xsi:type="dcterms:W3CDTF">2026-01-31T23:10:31Z</dcterms:modified>
</cp:coreProperties>
</file>